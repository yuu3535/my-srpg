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b10b67119f4472" /></Relationships>
</file>

<file path=xl/workbook.xml><?xml version="1.0" encoding="utf-8"?>
<x:workbook xmlns:x="http://schemas.openxmlformats.org/spreadsheetml/2006/main">
  <x:sheets>
    <x:sheet xmlns:r="http://schemas.openxmlformats.org/officeDocument/2006/relationships" name="ステ一覧" sheetId="1" r:id="R9a516f6c74324554"/>
    <x:sheet xmlns:r="http://schemas.openxmlformats.org/officeDocument/2006/relationships" name="派生値" sheetId="2" r:id="Rfb1211793b5c40a0"/>
    <x:sheet xmlns:r="http://schemas.openxmlformats.org/officeDocument/2006/relationships" name="換算元" sheetId="3" r:id="R92768c6bc1c64308"/>
    <x:sheet xmlns:r="http://schemas.openxmlformats.org/officeDocument/2006/relationships" name="計算ルール" sheetId="4" r:id="R81bcf7d1038d4e0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8">
    <x:font>
      <x:sz val="11"/>
      <x:name val="Carlito"/>
    </x:font>
    <x:font>
      <x:b/>
      <x:sz val="15"/>
      <x:color rgb="FF263A34"/>
      <x:name val="Arial"/>
    </x:font>
    <x:font>
      <x:i/>
      <x:sz val="9"/>
      <x:color rgb="FF68736E"/>
      <x:name val="Arial"/>
    </x:font>
    <x:font>
      <x:sz val="11"/>
      <x:name val="Arial"/>
    </x:font>
    <x:font>
      <x:b/>
      <x:sz val="10"/>
      <x:color rgb="FFFFFFFF"/>
      <x:name val="Arial"/>
    </x:font>
    <x:font>
      <x:sz val="10"/>
      <x:color rgb="FF202724"/>
      <x:name val="Arial"/>
    </x:font>
    <x:font>
      <x:sz val="9"/>
      <x:color rgb="FF2F6B5B"/>
      <x:name val="Arial"/>
    </x:font>
    <x:font>
      <x:b/>
      <x:sz val="10"/>
      <x:color rgb="FF263A34"/>
      <x:name val="Arial"/>
    </x:font>
  </x:fonts>
  <x:fills count="6">
    <x:fill>
      <x:patternFill patternType="none"/>
    </x:fill>
    <x:fill>
      <x:patternFill patternType="gray125"/>
    </x:fill>
    <x:fill>
      <x:patternFill patternType="solid">
        <x:fgColor rgb="FF263A34"/>
      </x:patternFill>
    </x:fill>
    <x:fill>
      <x:patternFill patternType="solid">
        <x:fgColor rgb="FFF5E8C8"/>
      </x:patternFill>
    </x:fill>
    <x:fill>
      <x:patternFill patternType="solid">
        <x:fgColor rgb="FFE8F1EE"/>
      </x:patternFill>
    </x:fill>
    <x:fill>
      <x:patternFill patternType="solid">
        <x:fgColor rgb="FFEAF0F5"/>
      </x:patternFill>
    </x:fill>
  </x:fills>
  <x:borders count="4">
    <x:border/>
    <x:border>
      <x:bottom style="thin">
        <x:color rgb="FFCDD8D3"/>
      </x:bottom>
    </x:border>
    <x:border>
      <x:left style="thin">
        <x:color rgb="FFFFFFFF"/>
      </x:left>
      <x:right style="thin">
        <x:color rgb="FFFFFFFF"/>
      </x:right>
      <x:top style="thin">
        <x:color rgb="FFFFFFFF"/>
      </x:top>
      <x:bottom style="thin">
        <x:color rgb="FFFFFFFF"/>
      </x:bottom>
    </x:border>
    <x:border>
      <x:top style="thin">
        <x:color rgb="FFCDD8D3"/>
      </x:top>
      <x:bottom style="thin">
        <x:color rgb="FFCDD8D3"/>
      </x:bottom>
    </x:border>
  </x:borders>
  <x:cellStyleXfs count="1">
    <x:xf numFmtId="0" fontId="0" fillId="0" borderId="0"/>
  </x:cellStyleXfs>
  <x:cellXfs count="45">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0"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1" xfId="0" applyNumberFormat="1" applyFont="1" applyFill="1" applyBorder="1" applyAlignment="1">
      <x:alignment vertical="center"/>
    </x:xf>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2" xfId="0" applyNumberFormat="1" applyFont="1" applyFill="1" applyBorder="1" applyAlignment="1">
      <x:alignment vertical="center" wrapText="1"/>
    </x:xf>
    <x:xf numFmtId="0" fontId="4" fillId="2" borderId="2" xfId="0" applyNumberFormat="1" applyFont="1" applyFill="1" applyBorder="1" applyAlignment="1">
      <x:alignment horizontal="center" vertical="center" wrapText="1"/>
    </x:xf>
    <x:xf numFmtId="0" fontId="5" fillId="0" borderId="0" xfId="0" applyNumberFormat="1" applyFont="1" applyFill="1" applyBorder="1" applyAlignment="1">
      <x:alignment vertical="center"/>
    </x:xf>
    <x:xf numFmtId="0" fontId="5" fillId="0" borderId="1" xfId="0" applyNumberFormat="1" applyFont="1" applyFill="1" applyBorder="1" applyAlignment="1">
      <x:alignment vertical="center"/>
    </x:xf>
    <x:xf numFmtId="0" fontId="5" fillId="0" borderId="3" xfId="0" applyNumberFormat="1" applyFont="1" applyFill="1" applyBorder="1" applyAlignment="1">
      <x:alignment vertical="center"/>
    </x:xf>
    <x:xf numFmtId="0" fontId="5" fillId="0" borderId="1" xfId="0" applyNumberFormat="1" applyFont="1" applyFill="1" applyBorder="1" applyAlignment="1">
      <x:alignment horizontal="right" vertical="center"/>
    </x:xf>
    <x:xf numFmtId="0" fontId="5" fillId="0" borderId="3" xfId="0" applyNumberFormat="1" applyFont="1" applyFill="1" applyBorder="1" applyAlignment="1">
      <x:alignment horizontal="right" vertical="center"/>
    </x:xf>
    <x:xf numFmtId="0" fontId="5" fillId="0" borderId="1" xfId="0" applyNumberFormat="1" applyFont="1" applyFill="1" applyBorder="1" applyAlignment="1">
      <x:alignment horizontal="left" vertical="center"/>
    </x:xf>
    <x:xf numFmtId="0" fontId="5" fillId="0" borderId="3" xfId="0" applyNumberFormat="1" applyFont="1" applyFill="1" applyBorder="1" applyAlignment="1">
      <x:alignment horizontal="left" vertical="center"/>
    </x:xf>
    <x:xf numFmtId="0" fontId="5" fillId="0" borderId="1" xfId="0" applyNumberFormat="1" applyFont="1" applyFill="1" applyBorder="1" applyAlignment="1">
      <x:alignment vertical="center" wrapText="1"/>
    </x:xf>
    <x:xf numFmtId="0" fontId="5" fillId="0" borderId="3" xfId="0" applyNumberFormat="1" applyFont="1" applyFill="1" applyBorder="1" applyAlignment="1">
      <x:alignment vertical="center" wrapText="1"/>
    </x:xf>
    <x:xf numFmtId="200" fontId="5" fillId="0" borderId="1" xfId="0" applyNumberFormat="1" applyFont="1" applyFill="1" applyBorder="1" applyAlignment="1">
      <x:alignment horizontal="right" vertical="center"/>
    </x:xf>
    <x:xf numFmtId="200" fontId="5" fillId="0" borderId="3" xfId="0" applyNumberFormat="1" applyFont="1" applyFill="1" applyBorder="1" applyAlignment="1">
      <x:alignment horizontal="right" vertical="center"/>
    </x:xf>
    <x:xf numFmtId="201" fontId="5" fillId="0" borderId="1" xfId="0" applyNumberFormat="1" applyFont="1" applyFill="1" applyBorder="1" applyAlignment="1">
      <x:alignment horizontal="right" vertical="center"/>
    </x:xf>
    <x:xf numFmtId="201" fontId="5" fillId="0" borderId="3" xfId="0" applyNumberFormat="1" applyFont="1" applyFill="1" applyBorder="1" applyAlignment="1">
      <x:alignment horizontal="right" vertical="center"/>
    </x:xf>
    <x:xf numFmtId="0" fontId="5" fillId="3" borderId="1" xfId="0" applyNumberFormat="1" applyFont="1" applyFill="1" applyBorder="1" applyAlignment="1">
      <x:alignment vertical="center"/>
    </x:xf>
    <x:xf numFmtId="0" fontId="5" fillId="3" borderId="3" xfId="0" applyNumberFormat="1" applyFont="1" applyFill="1" applyBorder="1" applyAlignment="1">
      <x:alignment vertical="center"/>
    </x:xf>
    <x:xf numFmtId="0" fontId="5" fillId="3" borderId="1" xfId="0" applyNumberFormat="1" applyFont="1" applyFill="1" applyBorder="1" applyAlignment="1">
      <x:alignment horizontal="center" vertical="center"/>
    </x:xf>
    <x:xf numFmtId="0" fontId="5" fillId="3" borderId="3" xfId="0" applyNumberFormat="1" applyFont="1" applyFill="1" applyBorder="1" applyAlignment="1">
      <x:alignment horizontal="center" vertical="center"/>
    </x:xf>
    <x:xf numFmtId="0" fontId="6" fillId="0" borderId="1" xfId="0" applyNumberFormat="1" applyFont="1" applyFill="1" applyBorder="1" applyAlignment="1">
      <x:alignment vertical="center"/>
    </x:xf>
    <x:xf numFmtId="0" fontId="6" fillId="0" borderId="3" xfId="0" applyNumberFormat="1" applyFont="1" applyFill="1" applyBorder="1" applyAlignment="1">
      <x:alignment vertical="center"/>
    </x:xf>
    <x:xf numFmtId="0" fontId="6" fillId="3" borderId="1" xfId="0" applyNumberFormat="1" applyFont="1" applyFill="1" applyBorder="1" applyAlignment="1">
      <x:alignment vertical="center"/>
    </x:xf>
    <x:xf numFmtId="0" fontId="5" fillId="3" borderId="1" xfId="0" applyNumberFormat="1" applyFont="1" applyFill="1" applyBorder="1" applyAlignment="1">
      <x:alignment horizontal="right" vertical="center"/>
    </x:xf>
    <x:xf numFmtId="0" fontId="5" fillId="3" borderId="1" xfId="0" applyNumberFormat="1" applyFont="1" applyFill="1" applyBorder="1" applyAlignment="1">
      <x:alignment vertical="center" wrapText="1"/>
    </x:xf>
    <x:xf numFmtId="0" fontId="6" fillId="3" borderId="3" xfId="0" applyNumberFormat="1" applyFont="1" applyFill="1" applyBorder="1" applyAlignment="1">
      <x:alignment vertical="center"/>
    </x:xf>
    <x:xf numFmtId="0" fontId="5" fillId="3" borderId="3" xfId="0" applyNumberFormat="1" applyFont="1" applyFill="1" applyBorder="1" applyAlignment="1">
      <x:alignment horizontal="right" vertical="center"/>
    </x:xf>
    <x:xf numFmtId="0" fontId="5" fillId="3" borderId="3" xfId="0" applyNumberFormat="1" applyFont="1" applyFill="1" applyBorder="1" applyAlignment="1">
      <x:alignment vertical="center" wrapText="1"/>
    </x:xf>
    <x:xf numFmtId="0" fontId="7" fillId="0" borderId="1" xfId="0" applyNumberFormat="1" applyFont="1" applyFill="1" applyBorder="1" applyAlignment="1">
      <x:alignment vertical="center"/>
    </x:xf>
    <x:xf numFmtId="0" fontId="7" fillId="0" borderId="3" xfId="0" applyNumberFormat="1" applyFont="1" applyFill="1" applyBorder="1" applyAlignment="1">
      <x:alignment vertical="center"/>
    </x:xf>
    <x:xf numFmtId="0" fontId="5" fillId="4" borderId="1"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5" borderId="3"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1653ae252d4c64" /><Relationship Type="http://schemas.openxmlformats.org/officeDocument/2006/relationships/theme" Target="/xl/theme/theme1.xml" Id="Rdc58b1b9910844d8" /><Relationship Type="http://schemas.openxmlformats.org/officeDocument/2006/relationships/sharedStrings" Target="/xl/sharedStrings.xml" Id="Ra5904d1cefd24444" /><Relationship Type="http://schemas.openxmlformats.org/officeDocument/2006/relationships/worksheet" Target="/xl/worksheets/sheet1.xml" Id="R9a516f6c74324554" /><Relationship Type="http://schemas.openxmlformats.org/officeDocument/2006/relationships/worksheet" Target="/xl/worksheets/sheet2.xml" Id="Rfb1211793b5c40a0" /><Relationship Type="http://schemas.openxmlformats.org/officeDocument/2006/relationships/worksheet" Target="/xl/worksheets/sheet3.xml" Id="R92768c6bc1c64308" /><Relationship Type="http://schemas.openxmlformats.org/officeDocument/2006/relationships/worksheet" Target="/xl/worksheets/sheet4.xml" Id="R81bcf7d1038d4e08" /></Relationships>
</file>

<file path=xl/tables/table1.xml><?xml version="1.0" encoding="utf-8"?>
<x:table xmlns:x="http://schemas.openxmlformats.org/spreadsheetml/2006/main" id="1" name="CharacterStatsTable" displayName="CharacterStatsTable" ref="A5:O22" headerRowCount="1" totalsRowCount="0" totalsRowShown="0">
  <x:tableColumns count="15">
    <x:tableColumn id="1" name="キャラクター"/>
    <x:tableColumn id="2" name="時点・状態"/>
    <x:tableColumn id="3" name="Lv"/>
    <x:tableColumn id="4" name="HP"/>
    <x:tableColumn id="5" name="力"/>
    <x:tableColumn id="6" name="防御"/>
    <x:tableColumn id="7" name="魔攻"/>
    <x:tableColumn id="8" name="魔防"/>
    <x:tableColumn id="9" name="技"/>
    <x:tableColumn id="10" name="速さ"/>
    <x:tableColumn id="11" name="魅力"/>
    <x:tableColumn id="12" name="勇気"/>
    <x:tableColumn id="13" name="幸運"/>
    <x:tableColumn id="14" name="MP"/>
    <x:tableColumn id="15" name="確認事項"/>
  </x:tableColumns>
  <x:tableStyleInfo name="TableStyleMedium2" showFirstColumn="0" showLastColumn="0" showRowStripes="1" showColumnStripes="0"/>
</x:table>
</file>

<file path=xl/tables/table2.xml><?xml version="1.0" encoding="utf-8"?>
<x:table xmlns:x="http://schemas.openxmlformats.org/spreadsheetml/2006/main" id="2" name="CharacterDerivedTable" displayName="CharacterDerivedTable" ref="A5:M22" headerRowCount="1" totalsRowCount="0" totalsRowShown="0">
  <x:tableColumns count="13">
    <x:tableColumn id="1" name="キャラクター"/>
    <x:tableColumn id="2" name="時点・状態"/>
    <x:tableColumn id="3" name="技"/>
    <x:tableColumn id="4" name="速さ"/>
    <x:tableColumn id="5" name="戦闘時SIZ"/>
    <x:tableColumn id="6" name="体格回避補正"/>
    <x:tableColumn id="7" name="命中側スコア"/>
    <x:tableColumn id="8" name="回避減算値"/>
    <x:tableColumn id="9" name="回避適性"/>
    <x:tableColumn id="10" name="必殺率"/>
    <x:tableColumn id="11" name="必殺回避"/>
    <x:tableColumn id="12" name="追撃・移動"/>
    <x:tableColumn id="13" name="確認事項"/>
  </x:tableColumns>
  <x:tableStyleInfo name="TableStyleMedium2" showFirstColumn="0" showLastColumn="0" showRowStripes="1" showColumnStripes="0"/>
</x:table>
</file>

<file path=xl/tables/table3.xml><?xml version="1.0" encoding="utf-8"?>
<x:table xmlns:x="http://schemas.openxmlformats.org/spreadsheetml/2006/main" id="3" name="CharacterSourceTable" displayName="CharacterSourceTable" ref="A5:S22" headerRowCount="1" totalsRowCount="0" totalsRowShown="0">
  <x:tableColumns count="19">
    <x:tableColumn id="1" name="ID"/>
    <x:tableColumn id="2" name="表示名"/>
    <x:tableColumn id="3" name="時点・状態"/>
    <x:tableColumn id="4" name="参照ファイル"/>
    <x:tableColumn id="5" name="Lv"/>
    <x:tableColumn id="6" name="HP"/>
    <x:tableColumn id="7" name="MP"/>
    <x:tableColumn id="8" name="STR"/>
    <x:tableColumn id="9" name="CON"/>
    <x:tableColumn id="10" name="DEX"/>
    <x:tableColumn id="11" name="POW"/>
    <x:tableColumn id="12" name="APP"/>
    <x:tableColumn id="13" name="通常SIZ"/>
    <x:tableColumn id="14" name="戦闘時SIZ"/>
    <x:tableColumn id="15" name="回避適性"/>
    <x:tableColumn id="16" name="勇気"/>
    <x:tableColumn id="17" name="幸運"/>
    <x:tableColumn id="18" name="回避適性の根拠"/>
    <x:tableColumn id="19" name="確認事項"/>
  </x:tableColumns>
  <x:tableStyleInfo name="TableStyleMedium2" showFirstColumn="0" showLastColumn="0" showRowStripes="1" showColumnStripes="0"/>
</x:table>
</file>

<file path=xl/tables/table4.xml><?xml version="1.0" encoding="utf-8"?>
<x:table xmlns:x="http://schemas.openxmlformats.org/spreadsheetml/2006/main" id="4" name="ConversionRulesTable" displayName="ConversionRulesTable" ref="A5:D24" headerRowCount="1" totalsRowCount="0" totalsRowShown="0">
  <x:tableColumns count="4">
    <x:tableColumn id="1" name="項目"/>
    <x:tableColumn id="2" name="式・扱い"/>
    <x:tableColumn id="3" name="状態"/>
    <x:tableColumn id="4" name="補足"/>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083230c551c4b70" /></Relationships>
</file>

<file path=xl/worksheets/_rels/sheet2.xml.rels>&#65279;<?xml version="1.0" encoding="utf-8"?><Relationships xmlns="http://schemas.openxmlformats.org/package/2006/relationships"><Relationship Type="http://schemas.openxmlformats.org/officeDocument/2006/relationships/table" Target="/xl/tables/table2.xml" Id="Rc8eca58283834b9a" /></Relationships>
</file>

<file path=xl/worksheets/_rels/sheet3.xml.rels>&#65279;<?xml version="1.0" encoding="utf-8"?><Relationships xmlns="http://schemas.openxmlformats.org/package/2006/relationships"><Relationship Type="http://schemas.openxmlformats.org/officeDocument/2006/relationships/table" Target="/xl/tables/table3.xml" Id="Rd35dc9c76e4b4d51" /></Relationships>
</file>

<file path=xl/worksheets/_rels/sheet4.xml.rels>&#65279;<?xml version="1.0" encoding="utf-8"?><Relationships xmlns="http://schemas.openxmlformats.org/package/2006/relationships"><Relationship Type="http://schemas.openxmlformats.org/officeDocument/2006/relationships/table" Target="/xl/tables/table4.xml" Id="Rc6d20e53eb554cb9" /></Relationships>
</file>

<file path=xl/worksheets/sheet1.xml><?xml version="1.0" encoding="utf-8"?>
<x:worksheet xmlns:x="http://schemas.openxmlformats.org/spreadsheetml/2006/main">
  <x:sheetPr>
    <x:tabColor rgb="FF2F6B5B"/>
  </x:sheetPr>
  <x:sheetViews>
    <x:sheetView showGridLines="0" workbookViewId="0">
      <x:pane xSplit="2" ySplit="5" topLeftCell="C6" activePane="bottomRight" state="frozen"/>
    </x:sheetView>
  </x:sheetViews>
  <x:sheetFormatPr defaultRowHeight="15"/>
  <x:cols>
    <x:col min="1" max="1" width="18" hidden="0" customWidth="1"/>
    <x:col min="2" max="2" width="17" hidden="0" customWidth="1"/>
    <x:col min="3" max="3" width="9" hidden="0" customWidth="1"/>
    <x:col min="4" max="4" width="9" hidden="0" customWidth="1"/>
    <x:col min="5" max="5" width="9" hidden="0" customWidth="1"/>
    <x:col min="6" max="6" width="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9" hidden="0" customWidth="1"/>
    <x:col min="15" max="15" width="46" hidden="0" customWidth="1"/>
  </x:cols>
  <x:sheetData>
    <x:row r="1" ht="9" customHeight="1">
      <x:c r="A1" s="8"/>
      <x:c r="B1" s="8"/>
      <x:c r="C1" s="8"/>
      <x:c r="D1" s="8"/>
      <x:c r="E1" s="8"/>
      <x:c r="F1" s="8"/>
      <x:c r="G1" s="8"/>
      <x:c r="H1" s="8"/>
      <x:c r="I1" s="8"/>
      <x:c r="J1" s="8"/>
      <x:c r="K1" s="8"/>
      <x:c r="L1" s="8"/>
      <x:c r="M1" s="8"/>
      <x:c r="N1" s="8"/>
      <x:c r="O1" s="8"/>
    </x:row>
    <x:row r="2">
      <x:c r="A2" s="5" t="str">
        <x:v>キャラクター能力換算一覧</x:v>
      </x:c>
      <x:c r="B2" s="8"/>
      <x:c r="C2" s="8"/>
      <x:c r="D2" s="8"/>
      <x:c r="E2" s="8"/>
      <x:c r="F2" s="8"/>
      <x:c r="G2" s="8"/>
      <x:c r="H2" s="8"/>
      <x:c r="I2" s="8"/>
      <x:c r="J2" s="8"/>
      <x:c r="K2" s="8"/>
      <x:c r="L2" s="8"/>
      <x:c r="M2" s="8"/>
      <x:c r="N2" s="8"/>
      <x:c r="O2" s="8"/>
    </x:row>
    <x:row r="3">
      <x:c r="A3" s="6" t="str">
        <x:v>基本8ステータスと独立値。数値は2026-09-23時点の設計式による比較用で、ゲームコードには未反映。</x:v>
      </x:c>
      <x:c r="B3" s="6"/>
      <x:c r="C3" s="6"/>
      <x:c r="D3" s="6"/>
      <x:c r="E3" s="6"/>
      <x:c r="F3" s="6"/>
      <x:c r="G3" s="6"/>
      <x:c r="H3" s="6"/>
      <x:c r="I3" s="6"/>
      <x:c r="J3" s="6"/>
      <x:c r="K3" s="6"/>
      <x:c r="L3" s="6"/>
      <x:c r="M3" s="6"/>
      <x:c r="N3" s="6"/>
      <x:c r="O3" s="6"/>
    </x:row>
    <x:row r="4">
      <x:c r="A4" s="9"/>
      <x:c r="B4" s="9"/>
      <x:c r="C4" s="9"/>
      <x:c r="D4" s="9"/>
      <x:c r="E4" s="9"/>
      <x:c r="F4" s="9"/>
      <x:c r="G4" s="9"/>
      <x:c r="H4" s="9"/>
      <x:c r="I4" s="9"/>
      <x:c r="J4" s="9"/>
      <x:c r="K4" s="9"/>
      <x:c r="L4" s="9"/>
      <x:c r="M4" s="9"/>
      <x:c r="N4" s="9"/>
      <x:c r="O4" s="9"/>
    </x:row>
    <x:row r="5" ht="31" customHeight="1">
      <x:c r="A5" s="14" t="str">
        <x:v>キャラクター</x:v>
      </x:c>
      <x:c r="B5" s="14" t="str">
        <x:v>時点・状態</x:v>
      </x:c>
      <x:c r="C5" s="14" t="str">
        <x:v>Lv</x:v>
      </x:c>
      <x:c r="D5" s="14" t="str">
        <x:v>HP</x:v>
      </x:c>
      <x:c r="E5" s="14" t="str">
        <x:v>力</x:v>
      </x:c>
      <x:c r="F5" s="14" t="str">
        <x:v>防御</x:v>
      </x:c>
      <x:c r="G5" s="14" t="str">
        <x:v>魔攻</x:v>
      </x:c>
      <x:c r="H5" s="14" t="str">
        <x:v>魔防</x:v>
      </x:c>
      <x:c r="I5" s="14" t="str">
        <x:v>技</x:v>
      </x:c>
      <x:c r="J5" s="14" t="str">
        <x:v>速さ</x:v>
      </x:c>
      <x:c r="K5" s="14" t="str">
        <x:v>魅力</x:v>
      </x:c>
      <x:c r="L5" s="14" t="str">
        <x:v>勇気</x:v>
      </x:c>
      <x:c r="M5" s="14" t="str">
        <x:v>幸運</x:v>
      </x:c>
      <x:c r="N5" s="14" t="str">
        <x:v>MP</x:v>
      </x:c>
      <x:c r="O5" s="14" t="str">
        <x:v>確認事項</x:v>
      </x:c>
    </x:row>
    <x:row r="6" ht="36" customHeight="1">
      <x:c r="A6" s="20" t="str">
        <x:f>'換算元'!B6</x:f>
        <x:v>アルシェ</x:v>
      </x:c>
      <x:c r="B6" s="20" t="str">
        <x:f>'換算元'!C6</x:f>
        <x:v>幼少期</x:v>
      </x:c>
      <x:c r="C6" s="18" t="n">
        <x:f>'換算元'!E6</x:f>
        <x:v>1</x:v>
      </x:c>
      <x:c r="D6" s="24" t="n">
        <x:f>'換算元'!F6</x:f>
        <x:v>13</x:v>
      </x:c>
      <x:c r="E6" s="24" t="n">
        <x:f>'換算元'!H6</x:f>
        <x:v>14</x:v>
      </x:c>
      <x:c r="F6" s="24" t="n">
        <x:f>INT(('換算元'!H6+'換算元'!N6)/2)</x:f>
        <x:v>13</x:v>
      </x:c>
      <x:c r="G6" s="24" t="n">
        <x:f>'換算元'!K6</x:f>
        <x:v>18</x:v>
      </x:c>
      <x:c r="H6" s="24" t="n">
        <x:f>INT(('換算元'!K6+'換算元'!I6)/2)</x:f>
        <x:v>15</x:v>
      </x:c>
      <x:c r="I6" s="24" t="n">
        <x:f>INT('換算元'!J6/2)</x:f>
        <x:v>9</x:v>
      </x:c>
      <x:c r="J6" s="24" t="n">
        <x:f>INT('換算元'!J6/4)+'換算元'!O6</x:f>
        <x:v>10</x:v>
      </x:c>
      <x:c r="K6" s="24" t="n">
        <x:f>'換算元'!L6</x:f>
        <x:v>15</x:v>
      </x:c>
      <x:c r="L6" s="18" t="n">
        <x:f>'換算元'!P6</x:f>
        <x:v>90</x:v>
      </x:c>
      <x:c r="M6" s="18" t="n">
        <x:f>'換算元'!Q6</x:f>
        <x:v>90</x:v>
      </x:c>
      <x:c r="N6" s="18" t="n">
        <x:f>'換算元'!G6</x:f>
        <x:v>18</x:v>
      </x:c>
      <x:c r="O6" s="22" t="str">
        <x:f>IF('換算元'!S6="","",'換算元'!S6)</x:f>
        <x:v>原資料に回避技能なし。回避適性6は現行ゲームの暫定値</x:v>
      </x:c>
    </x:row>
    <x:row r="7" ht="36" customHeight="1">
      <x:c r="A7" s="21" t="str">
        <x:f>'換算元'!B7</x:f>
        <x:v>アルシェ</x:v>
      </x:c>
      <x:c r="B7" s="21" t="str">
        <x:f>'換算元'!C7</x:f>
        <x:v>成長後</x:v>
      </x:c>
      <x:c r="C7" s="19" t="n">
        <x:f>'換算元'!E7</x:f>
        <x:v>4</x:v>
      </x:c>
      <x:c r="D7" s="25" t="n">
        <x:f>'換算元'!F7</x:f>
        <x:v>22</x:v>
      </x:c>
      <x:c r="E7" s="25" t="n">
        <x:f>'換算元'!H7</x:f>
        <x:v>22</x:v>
      </x:c>
      <x:c r="F7" s="25" t="n">
        <x:f>INT(('換算元'!H7+'換算元'!N7)/2)</x:f>
        <x:v>17</x:v>
      </x:c>
      <x:c r="G7" s="25" t="n">
        <x:f>'換算元'!K7</x:f>
        <x:v>26</x:v>
      </x:c>
      <x:c r="H7" s="25" t="n">
        <x:f>INT(('換算元'!K7+'換算元'!I7)/2)</x:f>
        <x:v>23</x:v>
      </x:c>
      <x:c r="I7" s="25" t="n">
        <x:f>INT('換算元'!J7/2)</x:f>
        <x:v>11</x:v>
      </x:c>
      <x:c r="J7" s="25" t="n">
        <x:f>INT('換算元'!J7/4)+'換算元'!O7</x:f>
        <x:v>12</x:v>
      </x:c>
      <x:c r="K7" s="25" t="n">
        <x:f>'換算元'!L7</x:f>
        <x:v>15</x:v>
      </x:c>
      <x:c r="L7" s="19" t="n">
        <x:f>'換算元'!P7</x:f>
        <x:v>90</x:v>
      </x:c>
      <x:c r="M7" s="19" t="n">
        <x:f>'換算元'!Q7</x:f>
        <x:v>90</x:v>
      </x:c>
      <x:c r="N7" s="19" t="n">
        <x:f>'換算元'!G7</x:f>
        <x:v>26</x:v>
      </x:c>
      <x:c r="O7" s="23" t="str">
        <x:f>IF('換算元'!S7="","",'換算元'!S7)</x:f>
        <x:v>比較用の成長後資料</x:v>
      </x:c>
    </x:row>
    <x:row r="8" ht="36" customHeight="1">
      <x:c r="A8" s="21" t="str">
        <x:f>'換算元'!B8</x:f>
        <x:v>リングホルム</x:v>
      </x:c>
      <x:c r="B8" s="21" t="str">
        <x:f>'換算元'!C8</x:f>
        <x:v>Lv5資料</x:v>
      </x:c>
      <x:c r="C8" s="19" t="n">
        <x:f>'換算元'!E8</x:f>
        <x:v>5</x:v>
      </x:c>
      <x:c r="D8" s="25" t="n">
        <x:f>'換算元'!F8</x:f>
        <x:v>23</x:v>
      </x:c>
      <x:c r="E8" s="25" t="n">
        <x:f>'換算元'!H8</x:f>
        <x:v>26</x:v>
      </x:c>
      <x:c r="F8" s="25" t="n">
        <x:f>INT(('換算元'!H8+'換算元'!N8)/2)</x:f>
        <x:v>18</x:v>
      </x:c>
      <x:c r="G8" s="25" t="n">
        <x:f>'換算元'!K8</x:f>
        <x:v>28</x:v>
      </x:c>
      <x:c r="H8" s="25" t="n">
        <x:f>INT(('換算元'!K8+'換算元'!I8)/2)</x:f>
        <x:v>25</x:v>
      </x:c>
      <x:c r="I8" s="25" t="n">
        <x:f>INT('換算元'!J8/2)</x:f>
        <x:v>11</x:v>
      </x:c>
      <x:c r="J8" s="25" t="n">
        <x:f>INT('換算元'!J8/4)+'換算元'!O8</x:f>
        <x:v>14</x:v>
      </x:c>
      <x:c r="K8" s="25" t="n">
        <x:f>'換算元'!L8</x:f>
        <x:v>16</x:v>
      </x:c>
      <x:c r="L8" s="19" t="n">
        <x:f>'換算元'!P8</x:f>
        <x:v>90</x:v>
      </x:c>
      <x:c r="M8" s="19" t="n">
        <x:f>'換算元'!Q8</x:f>
        <x:v>35</x:v>
      </x:c>
      <x:c r="N8" s="19" t="n">
        <x:f>'換算元'!G8</x:f>
        <x:v>28</x:v>
      </x:c>
      <x:c r="O8" s="23" t="str">
        <x:f>IF('換算元'!S8="","",'換算元'!S8)</x:f>
        <x:v>表ルートの完成済み強者として換算</x:v>
      </x:c>
    </x:row>
    <x:row r="9" ht="36" customHeight="1">
      <x:c r="A9" s="21" t="str">
        <x:f>'換算元'!B9</x:f>
        <x:v>アルバス</x:v>
      </x:c>
      <x:c r="B9" s="21" t="str">
        <x:f>'換算元'!C9</x:f>
        <x:v>Lv5資料</x:v>
      </x:c>
      <x:c r="C9" s="19" t="n">
        <x:f>'換算元'!E9</x:f>
        <x:v>5</x:v>
      </x:c>
      <x:c r="D9" s="25" t="n">
        <x:f>'換算元'!F9</x:f>
        <x:v>28</x:v>
      </x:c>
      <x:c r="E9" s="25" t="n">
        <x:f>'換算元'!H9</x:f>
        <x:v>18</x:v>
      </x:c>
      <x:c r="F9" s="25" t="n">
        <x:f>INT(('換算元'!H9+'換算元'!N9)/2)</x:f>
        <x:v>16</x:v>
      </x:c>
      <x:c r="G9" s="25" t="n">
        <x:f>'換算元'!K9</x:f>
        <x:v>36</x:v>
      </x:c>
      <x:c r="H9" s="25" t="n">
        <x:f>INT(('換算元'!K9+'換算元'!I9)/2)</x:f>
        <x:v>32</x:v>
      </x:c>
      <x:c r="I9" s="25" t="n">
        <x:f>INT('換算元'!J9/2)</x:f>
        <x:v>18</x:v>
      </x:c>
      <x:c r="J9" s="25" t="n">
        <x:f>INT('換算元'!J9/4)+'換算元'!O9</x:f>
        <x:v>9</x:v>
      </x:c>
      <x:c r="K9" s="25" t="n">
        <x:f>'換算元'!L9</x:f>
        <x:v>17</x:v>
      </x:c>
      <x:c r="L9" s="19" t="n">
        <x:f>'換算元'!P9</x:f>
        <x:v>65</x:v>
      </x:c>
      <x:c r="M9" s="19" t="n">
        <x:f>'換算元'!Q9</x:f>
        <x:v>65</x:v>
      </x:c>
      <x:c r="N9" s="19" t="n">
        <x:f>'換算元'!G9</x:f>
        <x:v>36</x:v>
      </x:c>
      <x:c r="O9" s="23" t="str">
        <x:f>IF('換算元'!S9="","",'換算元'!S9)</x:f>
        <x:v>回避適性0。高魔攻・高魔防だが回避型にはしない</x:v>
      </x:c>
    </x:row>
    <x:row r="10" ht="36" customHeight="1">
      <x:c r="A10" s="21" t="str">
        <x:f>'換算元'!B10</x:f>
        <x:v>カリマ</x:v>
      </x:c>
      <x:c r="B10" s="21" t="str">
        <x:f>'換算元'!C10</x:f>
        <x:v>幼少期</x:v>
      </x:c>
      <x:c r="C10" s="19" t="n">
        <x:f>'換算元'!E10</x:f>
        <x:v>1</x:v>
      </x:c>
      <x:c r="D10" s="25" t="n">
        <x:f>'換算元'!F10</x:f>
        <x:v>12</x:v>
      </x:c>
      <x:c r="E10" s="25" t="n">
        <x:f>'換算元'!H10</x:f>
        <x:v>14</x:v>
      </x:c>
      <x:c r="F10" s="25" t="n">
        <x:f>INT(('換算元'!H10+'換算元'!N10)/2)</x:f>
        <x:v>13</x:v>
      </x:c>
      <x:c r="G10" s="25" t="n">
        <x:f>'換算元'!K10</x:f>
        <x:v>18</x:v>
      </x:c>
      <x:c r="H10" s="25" t="n">
        <x:f>INT(('換算元'!K10+'換算元'!I10)/2)</x:f>
        <x:v>15</x:v>
      </x:c>
      <x:c r="I10" s="25" t="n">
        <x:f>INT('換算元'!J10/2)</x:f>
        <x:v>9</x:v>
      </x:c>
      <x:c r="J10" s="25" t="n">
        <x:f>INT('換算元'!J10/4)+'換算元'!O10</x:f>
        <x:v>10</x:v>
      </x:c>
      <x:c r="K10" s="25" t="n">
        <x:f>'換算元'!L10</x:f>
        <x:v>15</x:v>
      </x:c>
      <x:c r="L10" s="19" t="n">
        <x:f>'換算元'!P10</x:f>
        <x:v>90</x:v>
      </x:c>
      <x:c r="M10" s="19" t="n">
        <x:f>'換算元'!Q10</x:f>
        <x:v>90</x:v>
      </x:c>
      <x:c r="N10" s="19" t="n">
        <x:f>'換算元'!G10</x:f>
        <x:v>18</x:v>
      </x:c>
      <x:c r="O10" s="23" t="str">
        <x:f>IF('換算元'!S10="","",'換算元'!S10)</x:f>
        <x:v>原資料に回避技能なし。回避適性6は現行ゲームの暫定値</x:v>
      </x:c>
    </x:row>
    <x:row r="11" ht="36" customHeight="1">
      <x:c r="A11" s="21" t="str">
        <x:f>'換算元'!B11</x:f>
        <x:v>カリマ</x:v>
      </x:c>
      <x:c r="B11" s="21" t="str">
        <x:f>'換算元'!C11</x:f>
        <x:v>成長後</x:v>
      </x:c>
      <x:c r="C11" s="19" t="n">
        <x:f>'換算元'!E11</x:f>
        <x:v>4</x:v>
      </x:c>
      <x:c r="D11" s="25" t="n">
        <x:f>'換算元'!F11</x:f>
        <x:v>21</x:v>
      </x:c>
      <x:c r="E11" s="25" t="n">
        <x:f>'換算元'!H11</x:f>
        <x:v>21</x:v>
      </x:c>
      <x:c r="F11" s="25" t="n">
        <x:f>INT(('換算元'!H11+'換算元'!N11)/2)</x:f>
        <x:v>17</x:v>
      </x:c>
      <x:c r="G11" s="25" t="n">
        <x:f>'換算元'!K11</x:f>
        <x:v>27</x:v>
      </x:c>
      <x:c r="H11" s="25" t="n">
        <x:f>INT(('換算元'!K11+'換算元'!I11)/2)</x:f>
        <x:v>23</x:v>
      </x:c>
      <x:c r="I11" s="25" t="n">
        <x:f>INT('換算元'!J11/2)</x:f>
        <x:v>13</x:v>
      </x:c>
      <x:c r="J11" s="25" t="n">
        <x:f>INT('換算元'!J11/4)+'換算元'!O11</x:f>
        <x:v>13</x:v>
      </x:c>
      <x:c r="K11" s="25" t="n">
        <x:f>'換算元'!L11</x:f>
        <x:v>15</x:v>
      </x:c>
      <x:c r="L11" s="19" t="n">
        <x:f>'換算元'!P11</x:f>
        <x:v>90</x:v>
      </x:c>
      <x:c r="M11" s="19" t="n">
        <x:f>'換算元'!Q11</x:f>
        <x:v>90</x:v>
      </x:c>
      <x:c r="N11" s="19" t="n">
        <x:f>'換算元'!G11</x:f>
        <x:v>27</x:v>
      </x:c>
      <x:c r="O11" s="23" t="str">
        <x:f>IF('換算元'!S11="","",'換算元'!S11)</x:f>
        <x:v>比較用の成長後資料</x:v>
      </x:c>
    </x:row>
    <x:row r="12" ht="36" customHeight="1">
      <x:c r="A12" s="21" t="str">
        <x:f>'換算元'!B12</x:f>
        <x:v>ディラン</x:v>
      </x:c>
      <x:c r="B12" s="21" t="str">
        <x:f>'換算元'!C12</x:f>
        <x:v>竜人戦闘時</x:v>
      </x:c>
      <x:c r="C12" s="19" t="n">
        <x:f>'換算元'!E12</x:f>
        <x:v>4</x:v>
      </x:c>
      <x:c r="D12" s="25" t="n">
        <x:f>'換算元'!F12</x:f>
        <x:v>31</x:v>
      </x:c>
      <x:c r="E12" s="25" t="n">
        <x:f>'換算元'!H12</x:f>
        <x:v>33</x:v>
      </x:c>
      <x:c r="F12" s="25" t="n">
        <x:f>INT(('換算元'!H12+'換算元'!N12)/2)</x:f>
        <x:v>29</x:v>
      </x:c>
      <x:c r="G12" s="25" t="n">
        <x:f>'換算元'!K12</x:f>
        <x:v>17</x:v>
      </x:c>
      <x:c r="H12" s="25" t="n">
        <x:f>INT(('換算元'!K12+'換算元'!I12)/2)</x:f>
        <x:v>21</x:v>
      </x:c>
      <x:c r="I12" s="25" t="n">
        <x:f>INT('換算元'!J12/2)</x:f>
        <x:v>13</x:v>
      </x:c>
      <x:c r="J12" s="25" t="n">
        <x:f>INT('換算元'!J12/4)+'換算元'!O12</x:f>
        <x:v>13</x:v>
      </x:c>
      <x:c r="K12" s="25" t="n">
        <x:f>'換算元'!L12</x:f>
        <x:v>10</x:v>
      </x:c>
      <x:c r="L12" s="19" t="n">
        <x:f>'換算元'!P12</x:f>
        <x:v>60</x:v>
      </x:c>
      <x:c r="M12" s="19" t="n">
        <x:f>'換算元'!Q12</x:f>
        <x:v>25</x:v>
      </x:c>
      <x:c r="N12" s="19" t="n">
        <x:f>'換算元'!G12</x:f>
        <x:v>24</x:v>
      </x:c>
      <x:c r="O12" s="23" t="str">
        <x:f>IF('換算元'!S12="","",'換算元'!S12)</x:f>
        <x:v>SIZ増加後を標準戦闘状態として使用。通常HP26・SIZ15</x:v>
      </x:c>
    </x:row>
    <x:row r="13" ht="36" customHeight="1">
      <x:c r="A13" s="21" t="str">
        <x:f>'換算元'!B13</x:f>
        <x:v>バルド</x:v>
      </x:c>
      <x:c r="B13" s="21" t="str">
        <x:f>'換算元'!C13</x:f>
        <x:v>竜人戦闘時</x:v>
      </x:c>
      <x:c r="C13" s="19" t="n">
        <x:f>'換算元'!E13</x:f>
        <x:v>4</x:v>
      </x:c>
      <x:c r="D13" s="25" t="n">
        <x:f>'換算元'!F13</x:f>
        <x:v>32</x:v>
      </x:c>
      <x:c r="E13" s="25" t="n">
        <x:f>'換算元'!H13</x:f>
        <x:v>28</x:v>
      </x:c>
      <x:c r="F13" s="25" t="n">
        <x:f>INT(('換算元'!H13+'換算元'!N13)/2)</x:f>
        <x:v>25</x:v>
      </x:c>
      <x:c r="G13" s="25" t="n">
        <x:f>'換算元'!K13</x:f>
        <x:v>25</x:v>
      </x:c>
      <x:c r="H13" s="25" t="n">
        <x:f>INT(('換算元'!K13+'換算元'!I13)/2)</x:f>
        <x:v>24</x:v>
      </x:c>
      <x:c r="I13" s="25" t="n">
        <x:f>INT('換算元'!J13/2)</x:f>
        <x:v>12</x:v>
      </x:c>
      <x:c r="J13" s="25" t="n">
        <x:f>INT('換算元'!J13/4)+'換算元'!O13</x:f>
        <x:v>11</x:v>
      </x:c>
      <x:c r="K13" s="25" t="n">
        <x:f>'換算元'!L13</x:f>
        <x:v>11</x:v>
      </x:c>
      <x:c r="L13" s="19" t="n">
        <x:f>'換算元'!P13</x:f>
        <x:v>75</x:v>
      </x:c>
      <x:c r="M13" s="19" t="n">
        <x:f>'換算元'!Q13</x:f>
        <x:v>60</x:v>
      </x:c>
      <x:c r="N13" s="19" t="n">
        <x:f>'換算元'!G13</x:f>
        <x:v>25</x:v>
      </x:c>
      <x:c r="O13" s="23" t="str">
        <x:f>IF('換算元'!S13="","",'換算元'!S13)</x:f>
        <x:v>SIZ増加後を標準戦闘状態として使用。通常HP28・SIZ14</x:v>
      </x:c>
    </x:row>
    <x:row r="14" ht="36" customHeight="1">
      <x:c r="A14" s="21" t="str">
        <x:f>'換算元'!B14</x:f>
        <x:v>イヴァン</x:v>
      </x:c>
      <x:c r="B14" s="21" t="str">
        <x:f>'換算元'!C14</x:f>
        <x:v>Lv4資料</x:v>
      </x:c>
      <x:c r="C14" s="19" t="n">
        <x:f>'換算元'!E14</x:f>
        <x:v>4</x:v>
      </x:c>
      <x:c r="D14" s="25" t="n">
        <x:f>'換算元'!F14</x:f>
        <x:v>21</x:v>
      </x:c>
      <x:c r="E14" s="25" t="n">
        <x:f>'換算元'!H14</x:f>
        <x:v>17</x:v>
      </x:c>
      <x:c r="F14" s="25" t="n">
        <x:f>INT(('換算元'!H14+'換算元'!N14)/2)</x:f>
        <x:v>16</x:v>
      </x:c>
      <x:c r="G14" s="25" t="n">
        <x:f>'換算元'!K14</x:f>
        <x:v>29</x:v>
      </x:c>
      <x:c r="H14" s="25" t="n">
        <x:f>INT(('換算元'!K14+'換算元'!I14)/2)</x:f>
        <x:v>23</x:v>
      </x:c>
      <x:c r="I14" s="25" t="n">
        <x:f>INT('換算元'!J14/2)</x:f>
        <x:v>11</x:v>
      </x:c>
      <x:c r="J14" s="25" t="n">
        <x:f>INT('換算元'!J14/4)+'換算元'!O14</x:f>
        <x:v>12</x:v>
      </x:c>
      <x:c r="K14" s="25" t="n">
        <x:f>'換算元'!L14</x:f>
        <x:v>20</x:v>
      </x:c>
      <x:c r="L14" s="19" t="n">
        <x:f>'換算元'!P14</x:f>
        <x:v>70</x:v>
      </x:c>
      <x:c r="M14" s="19" t="n">
        <x:f>'換算元'!Q14</x:f>
        <x:v>30</x:v>
      </x:c>
      <x:c r="N14" s="19" t="n">
        <x:f>'換算元'!G14</x:f>
        <x:v>29</x:v>
      </x:c>
      <x:c r="O14" s="23" t="str">
        <x:f>IF('換算元'!S14="","",'換算元'!S14)</x:f>
      </x:c>
    </x:row>
    <x:row r="15" ht="36" customHeight="1">
      <x:c r="A15" s="21" t="str">
        <x:f>'換算元'!B15</x:f>
        <x:v>ユエル（エギュン）</x:v>
      </x:c>
      <x:c r="B15" s="21" t="str">
        <x:f>'換算元'!C15</x:f>
        <x:v>Lv3資料</x:v>
      </x:c>
      <x:c r="C15" s="19" t="n">
        <x:f>'換算元'!E15</x:f>
        <x:v>3</x:v>
      </x:c>
      <x:c r="D15" s="25" t="n">
        <x:f>'換算元'!F15</x:f>
        <x:v>15</x:v>
      </x:c>
      <x:c r="E15" s="25" t="n">
        <x:f>'換算元'!H15</x:f>
        <x:v>18</x:v>
      </x:c>
      <x:c r="F15" s="25" t="n">
        <x:f>INT(('換算元'!H15+'換算元'!N15)/2)</x:f>
        <x:v>13</x:v>
      </x:c>
      <x:c r="G15" s="25" t="n">
        <x:f>'換算元'!K15</x:f>
        <x:v>22</x:v>
      </x:c>
      <x:c r="H15" s="25" t="n">
        <x:f>INT(('換算元'!K15+'換算元'!I15)/2)</x:f>
        <x:v>19</x:v>
      </x:c>
      <x:c r="I15" s="25" t="n">
        <x:f>INT('換算元'!J15/2)</x:f>
        <x:v>10</x:v>
      </x:c>
      <x:c r="J15" s="25" t="n">
        <x:f>INT('換算元'!J15/4)+'換算元'!O15</x:f>
        <x:v>12</x:v>
      </x:c>
      <x:c r="K15" s="25" t="n">
        <x:f>'換算元'!L15</x:f>
        <x:v>14</x:v>
      </x:c>
      <x:c r="L15" s="19" t="n">
        <x:f>'換算元'!P15</x:f>
        <x:v>80</x:v>
      </x:c>
      <x:c r="M15" s="19" t="n">
        <x:f>'換算元'!Q15</x:f>
        <x:v>80</x:v>
      </x:c>
      <x:c r="N15" s="19" t="n">
        <x:f>'換算元'!G15</x:f>
        <x:v>22</x:v>
      </x:c>
      <x:c r="O15" s="23" t="str">
        <x:f>IF('換算元'!S15="","",'換算元'!S15)</x:f>
      </x:c>
    </x:row>
    <x:row r="16" ht="36" customHeight="1">
      <x:c r="A16" s="21" t="str">
        <x:f>'換算元'!B16</x:f>
        <x:v>カルラ</x:v>
      </x:c>
      <x:c r="B16" s="21" t="str">
        <x:f>'換算元'!C16</x:f>
        <x:v>通常・Lv1</x:v>
      </x:c>
      <x:c r="C16" s="19" t="n">
        <x:f>'換算元'!E16</x:f>
        <x:v>1</x:v>
      </x:c>
      <x:c r="D16" s="25" t="n">
        <x:f>'換算元'!F16</x:f>
        <x:v>12</x:v>
      </x:c>
      <x:c r="E16" s="25" t="n">
        <x:f>'換算元'!H16</x:f>
        <x:v>8</x:v>
      </x:c>
      <x:c r="F16" s="25" t="n">
        <x:f>INT(('換算元'!H16+'換算元'!N16)/2)</x:f>
        <x:v>10</x:v>
      </x:c>
      <x:c r="G16" s="25" t="n">
        <x:f>'換算元'!K16</x:f>
        <x:v>19</x:v>
      </x:c>
      <x:c r="H16" s="25" t="n">
        <x:f>INT(('換算元'!K16+'換算元'!I16)/2)</x:f>
        <x:v>15</x:v>
      </x:c>
      <x:c r="I16" s="25" t="n">
        <x:f>INT('換算元'!J16/2)</x:f>
        <x:v>7</x:v>
      </x:c>
      <x:c r="J16" s="25" t="n">
        <x:f>INT('換算元'!J16/4)+'換算元'!O16</x:f>
        <x:v>8</x:v>
      </x:c>
      <x:c r="K16" s="25" t="n">
        <x:f>'換算元'!L16</x:f>
        <x:v>20</x:v>
      </x:c>
      <x:c r="L16" s="19" t="n">
        <x:f>'換算元'!P16</x:f>
        <x:v>70</x:v>
      </x:c>
      <x:c r="M16" s="19" t="n">
        <x:f>'換算元'!Q16</x:f>
        <x:v>45</x:v>
      </x:c>
      <x:c r="N16" s="19" t="n">
        <x:f>'換算元'!G16</x:f>
        <x:v>19</x:v>
      </x:c>
      <x:c r="O16" s="23" t="str">
        <x:f>IF('換算元'!S16="","",'換算元'!S16)</x:f>
        <x:v>資料上の名称はカルラ（通常）</x:v>
      </x:c>
    </x:row>
    <x:row r="17" ht="36" customHeight="1">
      <x:c r="A17" s="21" t="str">
        <x:f>'換算元'!B17</x:f>
        <x:v>ギュンター</x:v>
      </x:c>
      <x:c r="B17" s="21" t="str">
        <x:f>'換算元'!C17</x:f>
        <x:v>Lv4資料</x:v>
      </x:c>
      <x:c r="C17" s="19" t="n">
        <x:f>'換算元'!E17</x:f>
        <x:v>4</x:v>
      </x:c>
      <x:c r="D17" s="25" t="n">
        <x:f>'換算元'!F17</x:f>
        <x:v>24</x:v>
      </x:c>
      <x:c r="E17" s="25" t="n">
        <x:f>'換算元'!H17</x:f>
        <x:v>30</x:v>
      </x:c>
      <x:c r="F17" s="25" t="n">
        <x:f>INT(('換算元'!H17+'換算元'!N17)/2)</x:f>
        <x:v>22</x:v>
      </x:c>
      <x:c r="G17" s="25" t="n">
        <x:f>'換算元'!K17</x:f>
        <x:v>27</x:v>
      </x:c>
      <x:c r="H17" s="25" t="n">
        <x:f>INT(('換算元'!K17+'換算元'!I17)/2)</x:f>
        <x:v>27</x:v>
      </x:c>
      <x:c r="I17" s="25" t="n">
        <x:f>INT('換算元'!J17/2)</x:f>
        <x:v>15</x:v>
      </x:c>
      <x:c r="J17" s="25" t="n">
        <x:f>INT('換算元'!J17/4)+'換算元'!O17</x:f>
        <x:v>15</x:v>
      </x:c>
      <x:c r="K17" s="25" t="n">
        <x:f>'換算元'!L17</x:f>
        <x:v>14</x:v>
      </x:c>
      <x:c r="L17" s="19" t="n">
        <x:f>'換算元'!P17</x:f>
        <x:v>75</x:v>
      </x:c>
      <x:c r="M17" s="19" t="n">
        <x:f>'換算元'!Q17</x:f>
        <x:v>65</x:v>
      </x:c>
      <x:c r="N17" s="19" t="n">
        <x:f>'換算元'!G17</x:f>
        <x:v>27</x:v>
      </x:c>
      <x:c r="O17" s="23" t="str">
        <x:f>IF('換算元'!S17="","",'換算元'!S17)</x:f>
        <x:v>召喚獣メモは一覧対象外</x:v>
      </x:c>
    </x:row>
    <x:row r="18" ht="36" customHeight="1">
      <x:c r="A18" s="21" t="str">
        <x:f>'換算元'!B18</x:f>
        <x:v>ギュンター？</x:v>
      </x:c>
      <x:c r="B18" s="21" t="str">
        <x:f>'換算元'!C18</x:f>
        <x:v>Lv2資料・要確認</x:v>
      </x:c>
      <x:c r="C18" s="19" t="n">
        <x:f>'換算元'!E18</x:f>
        <x:v>2</x:v>
      </x:c>
      <x:c r="D18" s="25" t="n">
        <x:f>'換算元'!F18</x:f>
        <x:v>19</x:v>
      </x:c>
      <x:c r="E18" s="25" t="n">
        <x:f>'換算元'!H18</x:f>
        <x:v>24</x:v>
      </x:c>
      <x:c r="F18" s="25" t="n">
        <x:f>INT(('換算元'!H18+'換算元'!N18)/2)</x:f>
        <x:v>14</x:v>
      </x:c>
      <x:c r="G18" s="25" t="n">
        <x:f>'換算元'!K18</x:f>
        <x:v>22</x:v>
      </x:c>
      <x:c r="H18" s="25" t="n">
        <x:f>INT(('換算元'!K18+'換算元'!I18)/2)</x:f>
        <x:v>22</x:v>
      </x:c>
      <x:c r="I18" s="25" t="n">
        <x:f>INT('換算元'!J18/2)</x:f>
        <x:v>12</x:v>
      </x:c>
      <x:c r="J18" s="25" t="n">
        <x:f>INT('換算元'!J18/4)+'換算元'!O18</x:f>
        <x:v>13</x:v>
      </x:c>
      <x:c r="K18" s="25" t="n">
        <x:f>'換算元'!L18</x:f>
        <x:v>14</x:v>
      </x:c>
      <x:c r="L18" s="19" t="n">
        <x:f>'換算元'!P18</x:f>
        <x:v>55</x:v>
      </x:c>
      <x:c r="M18" s="19" t="n">
        <x:f>'換算元'!Q18</x:f>
        <x:v>65</x:v>
      </x:c>
      <x:c r="N18" s="19" t="n">
        <x:f>'換算元'!G18</x:f>
        <x:v>22</x:v>
      </x:c>
      <x:c r="O18" s="23" t="str">
        <x:f>IF('換算元'!S18="","",'換算元'!S18)</x:f>
        <x:v>ファイル名はベル、本文Nameはギュンター。勇気はステ欄55、コピペ欄75で不一致</x:v>
      </x:c>
    </x:row>
    <x:row r="19" ht="36" customHeight="1">
      <x:c r="A19" s="21" t="str">
        <x:f>'換算元'!B19</x:f>
        <x:v>ジャック</x:v>
      </x:c>
      <x:c r="B19" s="21" t="str">
        <x:f>'換算元'!C19</x:f>
        <x:v>Lv4資料</x:v>
      </x:c>
      <x:c r="C19" s="19" t="n">
        <x:f>'換算元'!E19</x:f>
        <x:v>4</x:v>
      </x:c>
      <x:c r="D19" s="25" t="n">
        <x:f>'換算元'!F19</x:f>
        <x:v>21</x:v>
      </x:c>
      <x:c r="E19" s="25" t="n">
        <x:f>'換算元'!H19</x:f>
        <x:v>25</x:v>
      </x:c>
      <x:c r="F19" s="25" t="n">
        <x:f>INT(('換算元'!H19+'換算元'!N19)/2)</x:f>
        <x:v>19</x:v>
      </x:c>
      <x:c r="G19" s="25" t="n">
        <x:f>'換算元'!K19</x:f>
        <x:v>24</x:v>
      </x:c>
      <x:c r="H19" s="25" t="n">
        <x:f>INT(('換算元'!K19+'換算元'!I19)/2)</x:f>
        <x:v>23</x:v>
      </x:c>
      <x:c r="I19" s="25" t="n">
        <x:f>INT('換算元'!J19/2)</x:f>
        <x:v>11</x:v>
      </x:c>
      <x:c r="J19" s="25" t="n">
        <x:f>INT('換算元'!J19/4)+'換算元'!O19</x:f>
        <x:v>12</x:v>
      </x:c>
      <x:c r="K19" s="25" t="n">
        <x:f>'換算元'!L19</x:f>
        <x:v>13</x:v>
      </x:c>
      <x:c r="L19" s="19" t="n">
        <x:f>'換算元'!P19</x:f>
        <x:v>65</x:v>
      </x:c>
      <x:c r="M19" s="19" t="n">
        <x:f>'換算元'!Q19</x:f>
        <x:v>60</x:v>
      </x:c>
      <x:c r="N19" s="19" t="n">
        <x:f>'換算元'!G19</x:f>
        <x:v>24</x:v>
      </x:c>
      <x:c r="O19" s="23" t="str">
        <x:f>IF('換算元'!S19="","",'換算元'!S19)</x:f>
      </x:c>
    </x:row>
    <x:row r="20" ht="36" customHeight="1">
      <x:c r="A20" s="21" t="str">
        <x:f>'換算元'!B20</x:f>
        <x:v>フィロ</x:v>
      </x:c>
      <x:c r="B20" s="21" t="str">
        <x:f>'換算元'!C20</x:f>
        <x:v>Lv4資料</x:v>
      </x:c>
      <x:c r="C20" s="19" t="n">
        <x:f>'換算元'!E20</x:f>
        <x:v>4</x:v>
      </x:c>
      <x:c r="D20" s="25" t="n">
        <x:f>'換算元'!F20</x:f>
        <x:v>16</x:v>
      </x:c>
      <x:c r="E20" s="25" t="n">
        <x:f>'換算元'!H20</x:f>
        <x:v>21</x:v>
      </x:c>
      <x:c r="F20" s="25" t="n">
        <x:f>INT(('換算元'!H20+'換算元'!N20)/2)</x:f>
        <x:v>17</x:v>
      </x:c>
      <x:c r="G20" s="25" t="n">
        <x:f>'換算元'!K20</x:f>
        <x:v>17</x:v>
      </x:c>
      <x:c r="H20" s="25" t="n">
        <x:f>INT(('換算元'!K20+'換算元'!I20)/2)</x:f>
        <x:v>17</x:v>
      </x:c>
      <x:c r="I20" s="25" t="n">
        <x:f>INT('換算元'!J20/2)</x:f>
        <x:v>8</x:v>
      </x:c>
      <x:c r="J20" s="25" t="n">
        <x:f>INT('換算元'!J20/4)+'換算元'!O20</x:f>
        <x:v>10</x:v>
      </x:c>
      <x:c r="K20" s="25" t="n">
        <x:f>'換算元'!L20</x:f>
        <x:v>14</x:v>
      </x:c>
      <x:c r="L20" s="19" t="n">
        <x:f>'換算元'!P20</x:f>
        <x:v>60</x:v>
      </x:c>
      <x:c r="M20" s="19" t="n">
        <x:f>'換算元'!Q20</x:f>
        <x:v>55</x:v>
      </x:c>
      <x:c r="N20" s="19" t="n">
        <x:f>'換算元'!G20</x:f>
        <x:v>17</x:v>
      </x:c>
      <x:c r="O20" s="23" t="str">
        <x:f>IF('換算元'!S20="","",'換算元'!S20)</x:f>
      </x:c>
    </x:row>
    <x:row r="21" ht="36" customHeight="1">
      <x:c r="A21" s="21" t="str">
        <x:f>'換算元'!B21</x:f>
        <x:v>ヘレル</x:v>
      </x:c>
      <x:c r="B21" s="21" t="str">
        <x:f>'換算元'!C21</x:f>
        <x:v>Lv4資料</x:v>
      </x:c>
      <x:c r="C21" s="19" t="n">
        <x:f>'換算元'!E21</x:f>
        <x:v>4</x:v>
      </x:c>
      <x:c r="D21" s="25" t="n">
        <x:f>'換算元'!F21</x:f>
        <x:v>18</x:v>
      </x:c>
      <x:c r="E21" s="25" t="n">
        <x:f>'換算元'!H21</x:f>
        <x:v>18</x:v>
      </x:c>
      <x:c r="F21" s="25" t="n">
        <x:f>INT(('換算元'!H21+'換算元'!N21)/2)</x:f>
        <x:v>15</x:v>
      </x:c>
      <x:c r="G21" s="25" t="n">
        <x:f>'換算元'!K21</x:f>
        <x:v>23</x:v>
      </x:c>
      <x:c r="H21" s="25" t="n">
        <x:f>INT(('換算元'!K21+'換算元'!I21)/2)</x:f>
        <x:v>21</x:v>
      </x:c>
      <x:c r="I21" s="25" t="n">
        <x:f>INT('換算元'!J21/2)</x:f>
        <x:v>10</x:v>
      </x:c>
      <x:c r="J21" s="25" t="n">
        <x:f>INT('換算元'!J21/4)+'換算元'!O21</x:f>
        <x:v>11</x:v>
      </x:c>
      <x:c r="K21" s="25" t="n">
        <x:f>'換算元'!L21</x:f>
        <x:v>13</x:v>
      </x:c>
      <x:c r="L21" s="19" t="n">
        <x:f>'換算元'!P21</x:f>
        <x:v>70</x:v>
      </x:c>
      <x:c r="M21" s="19" t="n">
        <x:f>'換算元'!Q21</x:f>
        <x:v>90</x:v>
      </x:c>
      <x:c r="N21" s="19" t="n">
        <x:f>'換算元'!G21</x:f>
        <x:v>23</x:v>
      </x:c>
      <x:c r="O21" s="23" t="str">
        <x:f>IF('換算元'!S21="","",'換算元'!S21)</x:f>
      </x:c>
    </x:row>
    <x:row r="22" ht="36" customHeight="1">
      <x:c r="A22" s="21" t="str">
        <x:f>'換算元'!B22</x:f>
        <x:v>ロイ</x:v>
      </x:c>
      <x:c r="B22" s="21" t="str">
        <x:f>'換算元'!C22</x:f>
        <x:v>Lv3資料</x:v>
      </x:c>
      <x:c r="C22" s="19" t="n">
        <x:f>'換算元'!E22</x:f>
        <x:v>3</x:v>
      </x:c>
      <x:c r="D22" s="25" t="n">
        <x:f>'換算元'!F22</x:f>
        <x:v>19</x:v>
      </x:c>
      <x:c r="E22" s="25" t="n">
        <x:f>'換算元'!H22</x:f>
        <x:v>15</x:v>
      </x:c>
      <x:c r="F22" s="25" t="n">
        <x:f>INT(('換算元'!H22+'換算元'!N22)/2)</x:f>
        <x:v>13</x:v>
      </x:c>
      <x:c r="G22" s="25" t="n">
        <x:f>'換算元'!K22</x:f>
        <x:v>16</x:v>
      </x:c>
      <x:c r="H22" s="25" t="n">
        <x:f>INT(('換算元'!K22+'換算元'!I22)/2)</x:f>
        <x:v>21</x:v>
      </x:c>
      <x:c r="I22" s="25" t="n">
        <x:f>INT('換算元'!J22/2)</x:f>
        <x:v>8</x:v>
      </x:c>
      <x:c r="J22" s="25" t="n">
        <x:f>INT('換算元'!J22/4)+'換算元'!O22</x:f>
        <x:v>10</x:v>
      </x:c>
      <x:c r="K22" s="25" t="n">
        <x:f>'換算元'!L22</x:f>
        <x:v>13</x:v>
      </x:c>
      <x:c r="L22" s="19" t="n">
        <x:f>'換算元'!P22</x:f>
        <x:v>45</x:v>
      </x:c>
      <x:c r="M22" s="19" t="n">
        <x:f>'換算元'!Q22</x:f>
        <x:v>55</x:v>
      </x:c>
      <x:c r="N22" s="19" t="n">
        <x:f>'換算元'!G22</x:f>
        <x:v>16</x:v>
      </x:c>
      <x:c r="O22" s="23" t="str">
        <x:f>IF('換算元'!S22="","",'換算元'!S22)</x:f>
      </x:c>
    </x:row>
    <x:row r="23">
      <x:c r="A23" s="8"/>
      <x:c r="B23" s="8"/>
      <x:c r="C23" s="8"/>
      <x:c r="D23" s="8"/>
      <x:c r="E23" s="8"/>
      <x:c r="F23" s="8"/>
      <x:c r="G23" s="8"/>
      <x:c r="H23" s="8"/>
      <x:c r="I23" s="8"/>
      <x:c r="J23" s="8"/>
      <x:c r="K23" s="8"/>
      <x:c r="L23" s="8"/>
      <x:c r="M23" s="8"/>
      <x:c r="N23" s="8"/>
      <x:c r="O23" s="8"/>
    </x:row>
    <x:row r="24">
      <x:c r="A24" s="8"/>
      <x:c r="B24" s="8"/>
      <x:c r="C24" s="8"/>
      <x:c r="D24" s="8"/>
      <x:c r="E24" s="8"/>
      <x:c r="F24" s="8"/>
      <x:c r="G24" s="8"/>
      <x:c r="H24" s="8"/>
      <x:c r="I24" s="8"/>
      <x:c r="J24" s="8"/>
      <x:c r="K24" s="8"/>
      <x:c r="L24" s="8"/>
      <x:c r="M24" s="8"/>
      <x:c r="N24" s="8"/>
      <x:c r="O24" s="8"/>
    </x:row>
    <x:row r="25">
      <x:c r="A25" s="8"/>
      <x:c r="B25" s="8"/>
      <x:c r="C25" s="8"/>
      <x:c r="D25" s="8"/>
      <x:c r="E25" s="8"/>
      <x:c r="F25" s="8"/>
      <x:c r="G25" s="8"/>
      <x:c r="H25" s="8"/>
      <x:c r="I25" s="8"/>
      <x:c r="J25" s="8"/>
      <x:c r="K25" s="8"/>
      <x:c r="L25" s="8"/>
      <x:c r="M25" s="8"/>
      <x:c r="N25" s="8"/>
      <x:c r="O25" s="8"/>
    </x:row>
    <x:row r="26">
      <x:c r="A26" s="8"/>
      <x:c r="B26" s="8"/>
      <x:c r="C26" s="8"/>
      <x:c r="D26" s="8"/>
      <x:c r="E26" s="8"/>
      <x:c r="F26" s="8"/>
      <x:c r="G26" s="8"/>
      <x:c r="H26" s="8"/>
      <x:c r="I26" s="8"/>
      <x:c r="J26" s="8"/>
      <x:c r="K26" s="8"/>
      <x:c r="L26" s="8"/>
      <x:c r="M26" s="8"/>
      <x:c r="N26" s="8"/>
      <x:c r="O26" s="8"/>
    </x:row>
    <x:row r="27">
      <x:c r="A27" s="8"/>
      <x:c r="B27" s="8"/>
      <x:c r="C27" s="8"/>
      <x:c r="D27" s="8"/>
      <x:c r="E27" s="8"/>
      <x:c r="F27" s="8"/>
      <x:c r="G27" s="8"/>
      <x:c r="H27" s="8"/>
      <x:c r="I27" s="8"/>
      <x:c r="J27" s="8"/>
      <x:c r="K27" s="8"/>
      <x:c r="L27" s="8"/>
      <x:c r="M27" s="8"/>
      <x:c r="N27" s="8"/>
      <x:c r="O27" s="8"/>
    </x:row>
    <x:row r="28">
      <x:c r="A28" s="8"/>
      <x:c r="B28" s="8"/>
      <x:c r="C28" s="8"/>
      <x:c r="D28" s="8"/>
      <x:c r="E28" s="8"/>
      <x:c r="F28" s="8"/>
      <x:c r="G28" s="8"/>
      <x:c r="H28" s="8"/>
      <x:c r="I28" s="8"/>
      <x:c r="J28" s="8"/>
      <x:c r="K28" s="8"/>
      <x:c r="L28" s="8"/>
      <x:c r="M28" s="8"/>
      <x:c r="N28" s="8"/>
      <x:c r="O28" s="8"/>
    </x:row>
    <x:row r="29">
      <x:c r="A29" s="8"/>
      <x:c r="B29" s="8"/>
      <x:c r="C29" s="8"/>
      <x:c r="D29" s="8"/>
      <x:c r="E29" s="8"/>
      <x:c r="F29" s="8"/>
      <x:c r="G29" s="8"/>
      <x:c r="H29" s="8"/>
      <x:c r="I29" s="8"/>
      <x:c r="J29" s="8"/>
      <x:c r="K29" s="8"/>
      <x:c r="L29" s="8"/>
      <x:c r="M29" s="8"/>
      <x:c r="N29" s="8"/>
      <x:c r="O29" s="8"/>
    </x:row>
    <x:row r="30">
      <x:c r="A30" s="8"/>
      <x:c r="B30" s="8"/>
      <x:c r="C30" s="8"/>
      <x:c r="D30" s="8"/>
      <x:c r="E30" s="8"/>
      <x:c r="F30" s="8"/>
      <x:c r="G30" s="8"/>
      <x:c r="H30" s="8"/>
      <x:c r="I30" s="8"/>
      <x:c r="J30" s="8"/>
      <x:c r="K30" s="8"/>
      <x:c r="L30" s="8"/>
      <x:c r="M30" s="8"/>
      <x:c r="N30" s="8"/>
      <x:c r="O30" s="8"/>
    </x:row>
    <x:row r="31">
      <x:c r="A31" s="8"/>
      <x:c r="B31" s="8"/>
      <x:c r="C31" s="8"/>
      <x:c r="D31" s="8"/>
      <x:c r="E31" s="8"/>
      <x:c r="F31" s="8"/>
      <x:c r="G31" s="8"/>
      <x:c r="H31" s="8"/>
      <x:c r="I31" s="8"/>
      <x:c r="J31" s="8"/>
      <x:c r="K31" s="8"/>
      <x:c r="L31" s="8"/>
      <x:c r="M31" s="8"/>
      <x:c r="N31" s="8"/>
      <x:c r="O31" s="8"/>
    </x:row>
    <x:row r="32">
      <x:c r="A32" s="8"/>
      <x:c r="B32" s="8"/>
      <x:c r="C32" s="8"/>
      <x:c r="D32" s="8"/>
      <x:c r="E32" s="8"/>
      <x:c r="F32" s="8"/>
      <x:c r="G32" s="8"/>
      <x:c r="H32" s="8"/>
      <x:c r="I32" s="8"/>
      <x:c r="J32" s="8"/>
      <x:c r="K32" s="8"/>
      <x:c r="L32" s="8"/>
      <x:c r="M32" s="8"/>
      <x:c r="N32" s="8"/>
      <x:c r="O32" s="8"/>
    </x:row>
    <x:row r="33">
      <x:c r="A33" s="8"/>
      <x:c r="B33" s="8"/>
      <x:c r="C33" s="8"/>
      <x:c r="D33" s="8"/>
      <x:c r="E33" s="8"/>
      <x:c r="F33" s="8"/>
      <x:c r="G33" s="8"/>
      <x:c r="H33" s="8"/>
      <x:c r="I33" s="8"/>
      <x:c r="J33" s="8"/>
      <x:c r="K33" s="8"/>
      <x:c r="L33" s="8"/>
      <x:c r="M33" s="8"/>
      <x:c r="N33" s="8"/>
      <x:c r="O33" s="8"/>
    </x:row>
    <x:row r="34">
      <x:c r="A34" s="8"/>
      <x:c r="B34" s="8"/>
      <x:c r="C34" s="8"/>
      <x:c r="D34" s="8"/>
      <x:c r="E34" s="8"/>
      <x:c r="F34" s="8"/>
      <x:c r="G34" s="8"/>
      <x:c r="H34" s="8"/>
      <x:c r="I34" s="8"/>
      <x:c r="J34" s="8"/>
      <x:c r="K34" s="8"/>
      <x:c r="L34" s="8"/>
      <x:c r="M34" s="8"/>
      <x:c r="N34" s="8"/>
      <x:c r="O34" s="8"/>
    </x:row>
    <x:row r="35">
      <x:c r="A35" s="8"/>
      <x:c r="B35" s="8"/>
      <x:c r="C35" s="8"/>
      <x:c r="D35" s="8"/>
      <x:c r="E35" s="8"/>
      <x:c r="F35" s="8"/>
      <x:c r="G35" s="8"/>
      <x:c r="H35" s="8"/>
      <x:c r="I35" s="8"/>
      <x:c r="J35" s="8"/>
      <x:c r="K35" s="8"/>
      <x:c r="L35" s="8"/>
      <x:c r="M35" s="8"/>
      <x:c r="N35" s="8"/>
      <x:c r="O35" s="8"/>
    </x:row>
    <x:row r="36">
      <x:c r="A36" s="8"/>
      <x:c r="B36" s="8"/>
      <x:c r="C36" s="8"/>
      <x:c r="D36" s="8"/>
      <x:c r="E36" s="8"/>
      <x:c r="F36" s="8"/>
      <x:c r="G36" s="8"/>
      <x:c r="H36" s="8"/>
      <x:c r="I36" s="8"/>
      <x:c r="J36" s="8"/>
      <x:c r="K36" s="8"/>
      <x:c r="L36" s="8"/>
      <x:c r="M36" s="8"/>
      <x:c r="N36" s="8"/>
      <x:c r="O36" s="8"/>
    </x:row>
    <x:row r="37">
      <x:c r="A37" s="8"/>
      <x:c r="B37" s="8"/>
      <x:c r="C37" s="8"/>
      <x:c r="D37" s="8"/>
      <x:c r="E37" s="8"/>
      <x:c r="F37" s="8"/>
      <x:c r="G37" s="8"/>
      <x:c r="H37" s="8"/>
      <x:c r="I37" s="8"/>
      <x:c r="J37" s="8"/>
      <x:c r="K37" s="8"/>
      <x:c r="L37" s="8"/>
      <x:c r="M37" s="8"/>
      <x:c r="N37" s="8"/>
      <x:c r="O37" s="8"/>
    </x:row>
    <x:row r="38">
      <x:c r="A38" s="8"/>
      <x:c r="B38" s="8"/>
      <x:c r="C38" s="8"/>
      <x:c r="D38" s="8"/>
      <x:c r="E38" s="8"/>
      <x:c r="F38" s="8"/>
      <x:c r="G38" s="8"/>
      <x:c r="H38" s="8"/>
      <x:c r="I38" s="8"/>
      <x:c r="J38" s="8"/>
      <x:c r="K38" s="8"/>
      <x:c r="L38" s="8"/>
      <x:c r="M38" s="8"/>
      <x:c r="N38" s="8"/>
      <x:c r="O38" s="8"/>
    </x:row>
    <x:row r="39">
      <x:c r="A39" s="8"/>
      <x:c r="B39" s="8"/>
      <x:c r="C39" s="8"/>
      <x:c r="D39" s="8"/>
      <x:c r="E39" s="8"/>
      <x:c r="F39" s="8"/>
      <x:c r="G39" s="8"/>
      <x:c r="H39" s="8"/>
      <x:c r="I39" s="8"/>
      <x:c r="J39" s="8"/>
      <x:c r="K39" s="8"/>
      <x:c r="L39" s="8"/>
      <x:c r="M39" s="8"/>
      <x:c r="N39" s="8"/>
      <x:c r="O39" s="8"/>
    </x:row>
    <x:row r="40">
      <x:c r="A40" s="8"/>
      <x:c r="B40" s="8"/>
      <x:c r="C40" s="8"/>
      <x:c r="D40" s="8"/>
      <x:c r="E40" s="8"/>
      <x:c r="F40" s="8"/>
      <x:c r="G40" s="8"/>
      <x:c r="H40" s="8"/>
      <x:c r="I40" s="8"/>
      <x:c r="J40" s="8"/>
      <x:c r="K40" s="8"/>
      <x:c r="L40" s="8"/>
      <x:c r="M40" s="8"/>
      <x:c r="N40" s="8"/>
      <x:c r="O40" s="8"/>
    </x:row>
    <x:row r="41">
      <x:c r="A41" s="8"/>
      <x:c r="B41" s="8"/>
      <x:c r="C41" s="8"/>
      <x:c r="D41" s="8"/>
      <x:c r="E41" s="8"/>
      <x:c r="F41" s="8"/>
      <x:c r="G41" s="8"/>
      <x:c r="H41" s="8"/>
      <x:c r="I41" s="8"/>
      <x:c r="J41" s="8"/>
      <x:c r="K41" s="8"/>
      <x:c r="L41" s="8"/>
      <x:c r="M41" s="8"/>
      <x:c r="N41" s="8"/>
      <x:c r="O41" s="8"/>
    </x:row>
    <x:row r="42">
      <x:c r="A42" s="8"/>
      <x:c r="B42" s="8"/>
      <x:c r="C42" s="8"/>
      <x:c r="D42" s="8"/>
      <x:c r="E42" s="8"/>
      <x:c r="F42" s="8"/>
      <x:c r="G42" s="8"/>
      <x:c r="H42" s="8"/>
      <x:c r="I42" s="8"/>
      <x:c r="J42" s="8"/>
      <x:c r="K42" s="8"/>
      <x:c r="L42" s="8"/>
      <x:c r="M42" s="8"/>
      <x:c r="N42" s="8"/>
      <x:c r="O42" s="8"/>
    </x:row>
    <x:row r="43">
      <x:c r="A43" s="8"/>
      <x:c r="B43" s="8"/>
      <x:c r="C43" s="8"/>
      <x:c r="D43" s="8"/>
      <x:c r="E43" s="8"/>
      <x:c r="F43" s="8"/>
      <x:c r="G43" s="8"/>
      <x:c r="H43" s="8"/>
      <x:c r="I43" s="8"/>
      <x:c r="J43" s="8"/>
      <x:c r="K43" s="8"/>
      <x:c r="L43" s="8"/>
      <x:c r="M43" s="8"/>
      <x:c r="N43" s="8"/>
      <x:c r="O43" s="8"/>
    </x:row>
    <x:row r="44">
      <x:c r="A44" s="8"/>
      <x:c r="B44" s="8"/>
      <x:c r="C44" s="8"/>
      <x:c r="D44" s="8"/>
      <x:c r="E44" s="8"/>
      <x:c r="F44" s="8"/>
      <x:c r="G44" s="8"/>
      <x:c r="H44" s="8"/>
      <x:c r="I44" s="8"/>
      <x:c r="J44" s="8"/>
      <x:c r="K44" s="8"/>
      <x:c r="L44" s="8"/>
      <x:c r="M44" s="8"/>
      <x:c r="N44" s="8"/>
      <x:c r="O44" s="8"/>
    </x:row>
    <x:row r="45">
      <x:c r="A45" s="8"/>
      <x:c r="B45" s="8"/>
      <x:c r="C45" s="8"/>
      <x:c r="D45" s="8"/>
      <x:c r="E45" s="8"/>
      <x:c r="F45" s="8"/>
      <x:c r="G45" s="8"/>
      <x:c r="H45" s="8"/>
      <x:c r="I45" s="8"/>
      <x:c r="J45" s="8"/>
      <x:c r="K45" s="8"/>
      <x:c r="L45" s="8"/>
      <x:c r="M45" s="8"/>
      <x:c r="N45" s="8"/>
      <x:c r="O45" s="8"/>
    </x:row>
    <x:row r="46">
      <x:c r="A46" s="8"/>
      <x:c r="B46" s="8"/>
      <x:c r="C46" s="8"/>
      <x:c r="D46" s="8"/>
      <x:c r="E46" s="8"/>
      <x:c r="F46" s="8"/>
      <x:c r="G46" s="8"/>
      <x:c r="H46" s="8"/>
      <x:c r="I46" s="8"/>
      <x:c r="J46" s="8"/>
      <x:c r="K46" s="8"/>
      <x:c r="L46" s="8"/>
      <x:c r="M46" s="8"/>
      <x:c r="N46" s="8"/>
      <x:c r="O46" s="8"/>
    </x:row>
    <x:row r="47">
      <x:c r="A47" s="8"/>
      <x:c r="B47" s="8"/>
      <x:c r="C47" s="8"/>
      <x:c r="D47" s="8"/>
      <x:c r="E47" s="8"/>
      <x:c r="F47" s="8"/>
      <x:c r="G47" s="8"/>
      <x:c r="H47" s="8"/>
      <x:c r="I47" s="8"/>
      <x:c r="J47" s="8"/>
      <x:c r="K47" s="8"/>
      <x:c r="L47" s="8"/>
      <x:c r="M47" s="8"/>
      <x:c r="N47" s="8"/>
      <x:c r="O47" s="8"/>
    </x:row>
    <x:row r="48">
      <x:c r="A48" s="8"/>
      <x:c r="B48" s="8"/>
      <x:c r="C48" s="8"/>
      <x:c r="D48" s="8"/>
      <x:c r="E48" s="8"/>
      <x:c r="F48" s="8"/>
      <x:c r="G48" s="8"/>
      <x:c r="H48" s="8"/>
      <x:c r="I48" s="8"/>
      <x:c r="J48" s="8"/>
      <x:c r="K48" s="8"/>
      <x:c r="L48" s="8"/>
      <x:c r="M48" s="8"/>
      <x:c r="N48" s="8"/>
      <x:c r="O48" s="8"/>
    </x:row>
    <x:row r="49">
      <x:c r="A49" s="8"/>
      <x:c r="B49" s="8"/>
      <x:c r="C49" s="8"/>
      <x:c r="D49" s="8"/>
      <x:c r="E49" s="8"/>
      <x:c r="F49" s="8"/>
      <x:c r="G49" s="8"/>
      <x:c r="H49" s="8"/>
      <x:c r="I49" s="8"/>
      <x:c r="J49" s="8"/>
      <x:c r="K49" s="8"/>
      <x:c r="L49" s="8"/>
      <x:c r="M49" s="8"/>
      <x:c r="N49" s="8"/>
      <x:c r="O49" s="8"/>
    </x:row>
    <x:row r="50">
      <x:c r="A50" s="8"/>
      <x:c r="B50" s="8"/>
      <x:c r="C50" s="8"/>
      <x:c r="D50" s="8"/>
      <x:c r="E50" s="8"/>
      <x:c r="F50" s="8"/>
      <x:c r="G50" s="8"/>
      <x:c r="H50" s="8"/>
      <x:c r="I50" s="8"/>
      <x:c r="J50" s="8"/>
      <x:c r="K50" s="8"/>
      <x:c r="L50" s="8"/>
      <x:c r="M50" s="8"/>
      <x:c r="N50" s="8"/>
      <x:c r="O50" s="8"/>
    </x:row>
    <x:row r="51">
      <x:c r="A51" s="8"/>
      <x:c r="B51" s="8"/>
      <x:c r="C51" s="8"/>
      <x:c r="D51" s="8"/>
      <x:c r="E51" s="8"/>
      <x:c r="F51" s="8"/>
      <x:c r="G51" s="8"/>
      <x:c r="H51" s="8"/>
      <x:c r="I51" s="8"/>
      <x:c r="J51" s="8"/>
      <x:c r="K51" s="8"/>
      <x:c r="L51" s="8"/>
      <x:c r="M51" s="8"/>
      <x:c r="N51" s="8"/>
      <x:c r="O51" s="8"/>
    </x:row>
    <x:row r="52">
      <x:c r="A52" s="8"/>
      <x:c r="B52" s="8"/>
      <x:c r="C52" s="8"/>
      <x:c r="D52" s="8"/>
      <x:c r="E52" s="8"/>
      <x:c r="F52" s="8"/>
      <x:c r="G52" s="8"/>
      <x:c r="H52" s="8"/>
      <x:c r="I52" s="8"/>
      <x:c r="J52" s="8"/>
      <x:c r="K52" s="8"/>
      <x:c r="L52" s="8"/>
      <x:c r="M52" s="8"/>
      <x:c r="N52" s="8"/>
      <x:c r="O52" s="8"/>
    </x:row>
    <x:row r="53">
      <x:c r="A53" s="8"/>
      <x:c r="B53" s="8"/>
      <x:c r="C53" s="8"/>
      <x:c r="D53" s="8"/>
      <x:c r="E53" s="8"/>
      <x:c r="F53" s="8"/>
      <x:c r="G53" s="8"/>
      <x:c r="H53" s="8"/>
      <x:c r="I53" s="8"/>
      <x:c r="J53" s="8"/>
      <x:c r="K53" s="8"/>
      <x:c r="L53" s="8"/>
      <x:c r="M53" s="8"/>
      <x:c r="N53" s="8"/>
      <x:c r="O53" s="8"/>
    </x:row>
    <x:row r="54">
      <x:c r="A54" s="8"/>
      <x:c r="B54" s="8"/>
      <x:c r="C54" s="8"/>
      <x:c r="D54" s="8"/>
      <x:c r="E54" s="8"/>
      <x:c r="F54" s="8"/>
      <x:c r="G54" s="8"/>
      <x:c r="H54" s="8"/>
      <x:c r="I54" s="8"/>
      <x:c r="J54" s="8"/>
      <x:c r="K54" s="8"/>
      <x:c r="L54" s="8"/>
      <x:c r="M54" s="8"/>
      <x:c r="N54" s="8"/>
      <x:c r="O54" s="8"/>
    </x:row>
    <x:row r="55">
      <x:c r="A55" s="8"/>
      <x:c r="B55" s="8"/>
      <x:c r="C55" s="8"/>
      <x:c r="D55" s="8"/>
      <x:c r="E55" s="8"/>
      <x:c r="F55" s="8"/>
      <x:c r="G55" s="8"/>
      <x:c r="H55" s="8"/>
      <x:c r="I55" s="8"/>
      <x:c r="J55" s="8"/>
      <x:c r="K55" s="8"/>
      <x:c r="L55" s="8"/>
      <x:c r="M55" s="8"/>
      <x:c r="N55" s="8"/>
      <x:c r="O55" s="8"/>
    </x:row>
    <x:row r="56">
      <x:c r="A56" s="8"/>
      <x:c r="B56" s="8"/>
      <x:c r="C56" s="8"/>
      <x:c r="D56" s="8"/>
      <x:c r="E56" s="8"/>
      <x:c r="F56" s="8"/>
      <x:c r="G56" s="8"/>
      <x:c r="H56" s="8"/>
      <x:c r="I56" s="8"/>
      <x:c r="J56" s="8"/>
      <x:c r="K56" s="8"/>
      <x:c r="L56" s="8"/>
      <x:c r="M56" s="8"/>
      <x:c r="N56" s="8"/>
      <x:c r="O56" s="8"/>
    </x:row>
    <x:row r="57">
      <x:c r="A57" s="8"/>
      <x:c r="B57" s="8"/>
      <x:c r="C57" s="8"/>
      <x:c r="D57" s="8"/>
      <x:c r="E57" s="8"/>
      <x:c r="F57" s="8"/>
      <x:c r="G57" s="8"/>
      <x:c r="H57" s="8"/>
      <x:c r="I57" s="8"/>
      <x:c r="J57" s="8"/>
      <x:c r="K57" s="8"/>
      <x:c r="L57" s="8"/>
      <x:c r="M57" s="8"/>
      <x:c r="N57" s="8"/>
      <x:c r="O57" s="8"/>
    </x:row>
    <x:row r="58">
      <x:c r="A58" s="8"/>
      <x:c r="B58" s="8"/>
      <x:c r="C58" s="8"/>
      <x:c r="D58" s="8"/>
      <x:c r="E58" s="8"/>
      <x:c r="F58" s="8"/>
      <x:c r="G58" s="8"/>
      <x:c r="H58" s="8"/>
      <x:c r="I58" s="8"/>
      <x:c r="J58" s="8"/>
      <x:c r="K58" s="8"/>
      <x:c r="L58" s="8"/>
      <x:c r="M58" s="8"/>
      <x:c r="N58" s="8"/>
      <x:c r="O58" s="8"/>
    </x:row>
    <x:row r="59">
      <x:c r="A59" s="8"/>
      <x:c r="B59" s="8"/>
      <x:c r="C59" s="8"/>
      <x:c r="D59" s="8"/>
      <x:c r="E59" s="8"/>
      <x:c r="F59" s="8"/>
      <x:c r="G59" s="8"/>
      <x:c r="H59" s="8"/>
      <x:c r="I59" s="8"/>
      <x:c r="J59" s="8"/>
      <x:c r="K59" s="8"/>
      <x:c r="L59" s="8"/>
      <x:c r="M59" s="8"/>
      <x:c r="N59" s="8"/>
      <x:c r="O59" s="8"/>
    </x:row>
    <x:row r="60">
      <x:c r="A60" s="8"/>
      <x:c r="B60" s="8"/>
      <x:c r="C60" s="8"/>
      <x:c r="D60" s="8"/>
      <x:c r="E60" s="8"/>
      <x:c r="F60" s="8"/>
      <x:c r="G60" s="8"/>
      <x:c r="H60" s="8"/>
      <x:c r="I60" s="8"/>
      <x:c r="J60" s="8"/>
      <x:c r="K60" s="8"/>
      <x:c r="L60" s="8"/>
      <x:c r="M60" s="8"/>
      <x:c r="N60" s="8"/>
      <x:c r="O60" s="8"/>
    </x:row>
  </x:sheetData>
  <x:conditionalFormatting sqref="D6:D22">
    <x:cfRule type="colorScale" priority="1">
      <x:colorScale>
        <x:cfvo type="min"/>
        <x:cfvo type="percentile" val="50"/>
        <x:cfvo type="max"/>
        <x:color rgb="FFF7F9F8"/>
        <x:color rgb="FFDCEAE5"/>
        <x:color rgb="FF7EB39F"/>
      </x:colorScale>
    </x:cfRule>
  </x:conditionalFormatting>
  <x:conditionalFormatting sqref="E6:E22">
    <x:cfRule type="colorScale" priority="2">
      <x:colorScale>
        <x:cfvo type="min"/>
        <x:cfvo type="percentile" val="50"/>
        <x:cfvo type="max"/>
        <x:color rgb="FFF7F9F8"/>
        <x:color rgb="FFDCEAE5"/>
        <x:color rgb="FF7EB39F"/>
      </x:colorScale>
    </x:cfRule>
  </x:conditionalFormatting>
  <x:conditionalFormatting sqref="F6:F22">
    <x:cfRule type="colorScale" priority="3">
      <x:colorScale>
        <x:cfvo type="min"/>
        <x:cfvo type="percentile" val="50"/>
        <x:cfvo type="max"/>
        <x:color rgb="FFF7F9F8"/>
        <x:color rgb="FFDCEAE5"/>
        <x:color rgb="FF7EB39F"/>
      </x:colorScale>
    </x:cfRule>
  </x:conditionalFormatting>
  <x:conditionalFormatting sqref="G6:G22">
    <x:cfRule type="colorScale" priority="4">
      <x:colorScale>
        <x:cfvo type="min"/>
        <x:cfvo type="percentile" val="50"/>
        <x:cfvo type="max"/>
        <x:color rgb="FFF7F9F8"/>
        <x:color rgb="FFDCEAE5"/>
        <x:color rgb="FF7EB39F"/>
      </x:colorScale>
    </x:cfRule>
  </x:conditionalFormatting>
  <x:conditionalFormatting sqref="H6:H22">
    <x:cfRule type="colorScale" priority="5">
      <x:colorScale>
        <x:cfvo type="min"/>
        <x:cfvo type="percentile" val="50"/>
        <x:cfvo type="max"/>
        <x:color rgb="FFF7F9F8"/>
        <x:color rgb="FFDCEAE5"/>
        <x:color rgb="FF7EB39F"/>
      </x:colorScale>
    </x:cfRule>
  </x:conditionalFormatting>
  <x:conditionalFormatting sqref="I6:I22">
    <x:cfRule type="colorScale" priority="6">
      <x:colorScale>
        <x:cfvo type="min"/>
        <x:cfvo type="percentile" val="50"/>
        <x:cfvo type="max"/>
        <x:color rgb="FFF7F9F8"/>
        <x:color rgb="FFDCEAE5"/>
        <x:color rgb="FF7EB39F"/>
      </x:colorScale>
    </x:cfRule>
  </x:conditionalFormatting>
  <x:conditionalFormatting sqref="J6:J22">
    <x:cfRule type="colorScale" priority="7">
      <x:colorScale>
        <x:cfvo type="min"/>
        <x:cfvo type="percentile" val="50"/>
        <x:cfvo type="max"/>
        <x:color rgb="FFF7F9F8"/>
        <x:color rgb="FFDCEAE5"/>
        <x:color rgb="FF7EB39F"/>
      </x:colorScale>
    </x:cfRule>
  </x:conditionalFormatting>
  <x:conditionalFormatting sqref="K6:K22">
    <x:cfRule type="colorScale" priority="8">
      <x:colorScale>
        <x:cfvo type="min"/>
        <x:cfvo type="percentile" val="50"/>
        <x:cfvo type="max"/>
        <x:color rgb="FFF7F9F8"/>
        <x:color rgb="FFDCEAE5"/>
        <x:color rgb="FF7EB39F"/>
      </x:colorScale>
    </x:cfRule>
  </x:conditionalFormatting>
  <x:pageMargins left="0.7" right="0.7" top="0.75" bottom="0.75" header="0.3" footer="0.3"/>
  <x:tableParts count="1">
    <x:tablePart xmlns:r="http://schemas.openxmlformats.org/officeDocument/2006/relationships" r:id="R9083230c551c4b70"/>
  </x:tableParts>
</x:worksheet>
</file>

<file path=xl/worksheets/sheet2.xml><?xml version="1.0" encoding="utf-8"?>
<x:worksheet xmlns:x="http://schemas.openxmlformats.org/spreadsheetml/2006/main">
  <x:sheetPr>
    <x:tabColor rgb="FF6E8FA4"/>
  </x:sheetPr>
  <x:sheetViews>
    <x:sheetView showGridLines="0" workbookViewId="0">
      <x:pane xSplit="2" ySplit="5" topLeftCell="C6" activePane="bottomRight" state="frozen"/>
    </x:sheetView>
  </x:sheetViews>
  <x:sheetFormatPr defaultRowHeight="15"/>
  <x:cols>
    <x:col min="1" max="1" width="18" hidden="0" customWidth="1"/>
    <x:col min="2" max="2" width="17"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2" hidden="0" customWidth="1"/>
    <x:col min="11" max="11" width="12" hidden="0" customWidth="1"/>
    <x:col min="12" max="12" width="12" hidden="0" customWidth="1"/>
    <x:col min="13" max="13" width="46" hidden="0" customWidth="1"/>
  </x:cols>
  <x:sheetData>
    <x:row r="1" ht="9" customHeight="1">
      <x:c r="A1" s="8"/>
      <x:c r="B1" s="8"/>
      <x:c r="C1" s="8"/>
      <x:c r="D1" s="8"/>
      <x:c r="E1" s="8"/>
      <x:c r="F1" s="8"/>
      <x:c r="G1" s="8"/>
      <x:c r="H1" s="8"/>
      <x:c r="I1" s="8"/>
      <x:c r="J1" s="8"/>
      <x:c r="K1" s="8"/>
      <x:c r="L1" s="8"/>
      <x:c r="M1" s="8"/>
    </x:row>
    <x:row r="2">
      <x:c r="A2" s="5" t="str">
        <x:v>派生値と未決定項目</x:v>
      </x:c>
      <x:c r="B2" s="8"/>
      <x:c r="C2" s="8"/>
      <x:c r="D2" s="8"/>
      <x:c r="E2" s="8"/>
      <x:c r="F2" s="8"/>
      <x:c r="G2" s="8"/>
      <x:c r="H2" s="8"/>
      <x:c r="I2" s="8"/>
      <x:c r="J2" s="8"/>
      <x:c r="K2" s="8"/>
      <x:c r="L2" s="8"/>
      <x:c r="M2" s="8"/>
    </x:row>
    <x:row r="3">
      <x:c r="A3" s="6" t="str">
        <x:v>命中側スコアと回避減算値は最終確率ではない。最終命中率は攻撃者の命中側スコアから防御者の回避減算値を引く。</x:v>
      </x:c>
      <x:c r="B3" s="6"/>
      <x:c r="C3" s="6"/>
      <x:c r="D3" s="6"/>
      <x:c r="E3" s="6"/>
      <x:c r="F3" s="6"/>
      <x:c r="G3" s="6"/>
      <x:c r="H3" s="6"/>
      <x:c r="I3" s="6"/>
      <x:c r="J3" s="6"/>
      <x:c r="K3" s="6"/>
      <x:c r="L3" s="6"/>
      <x:c r="M3" s="6"/>
    </x:row>
    <x:row r="4">
      <x:c r="A4" s="9"/>
      <x:c r="B4" s="9"/>
      <x:c r="C4" s="9"/>
      <x:c r="D4" s="9"/>
      <x:c r="E4" s="9"/>
      <x:c r="F4" s="9"/>
      <x:c r="G4" s="9"/>
      <x:c r="H4" s="9"/>
      <x:c r="I4" s="9"/>
      <x:c r="J4" s="9"/>
      <x:c r="K4" s="9"/>
      <x:c r="L4" s="9"/>
      <x:c r="M4" s="9"/>
    </x:row>
    <x:row r="5" ht="31" customHeight="1">
      <x:c r="A5" s="14" t="str">
        <x:v>キャラクター</x:v>
      </x:c>
      <x:c r="B5" s="14" t="str">
        <x:v>時点・状態</x:v>
      </x:c>
      <x:c r="C5" s="14" t="str">
        <x:v>技</x:v>
      </x:c>
      <x:c r="D5" s="14" t="str">
        <x:v>速さ</x:v>
      </x:c>
      <x:c r="E5" s="14" t="str">
        <x:v>戦闘時SIZ</x:v>
      </x:c>
      <x:c r="F5" s="14" t="str">
        <x:v>体格回避補正</x:v>
      </x:c>
      <x:c r="G5" s="14" t="str">
        <x:v>命中側スコア</x:v>
      </x:c>
      <x:c r="H5" s="14" t="str">
        <x:v>回避減算値</x:v>
      </x:c>
      <x:c r="I5" s="14" t="str">
        <x:v>回避適性</x:v>
      </x:c>
      <x:c r="J5" s="14" t="str">
        <x:v>必殺率</x:v>
      </x:c>
      <x:c r="K5" s="14" t="str">
        <x:v>必殺回避</x:v>
      </x:c>
      <x:c r="L5" s="14" t="str">
        <x:v>追撃・移動</x:v>
      </x:c>
      <x:c r="M5" s="14" t="str">
        <x:v>確認事項</x:v>
      </x:c>
    </x:row>
    <x:row r="6" ht="36" customHeight="1">
      <x:c r="A6" s="16" t="str">
        <x:f>'ステ一覧'!A6</x:f>
        <x:v>アルシェ</x:v>
      </x:c>
      <x:c r="B6" s="16" t="str">
        <x:f>'ステ一覧'!B6</x:f>
        <x:v>幼少期</x:v>
      </x:c>
      <x:c r="C6" s="18" t="n">
        <x:f>'ステ一覧'!I6</x:f>
        <x:v>9</x:v>
      </x:c>
      <x:c r="D6" s="18" t="n">
        <x:f>'ステ一覧'!J6</x:f>
        <x:v>10</x:v>
      </x:c>
      <x:c r="E6" s="18" t="n">
        <x:f>'換算元'!N6</x:f>
        <x:v>13</x:v>
      </x:c>
      <x:c r="F6" s="18" t="n">
        <x:f>MAX(-10,MIN(5,11-E6))</x:f>
        <x:v>-2</x:v>
      </x:c>
      <x:c r="G6" s="26" t="n">
        <x:f>60+C6*2.5</x:f>
        <x:v>82.5</x:v>
      </x:c>
      <x:c r="H6" s="26" t="n">
        <x:f>D6*2.5+F6</x:f>
        <x:v>23</x:v>
      </x:c>
      <x:c r="I6" s="18" t="n">
        <x:f>'換算元'!O6</x:f>
        <x:v>6</x:v>
      </x:c>
      <x:c r="J6" s="30" t="str">
        <x:v>未決</x:v>
      </x:c>
      <x:c r="K6" s="30" t="str">
        <x:v>未決</x:v>
      </x:c>
      <x:c r="L6" s="30" t="str">
        <x:v>未決</x:v>
      </x:c>
      <x:c r="M6" s="22" t="str">
        <x:f>IF('換算元'!S6="","",'換算元'!S6)</x:f>
        <x:v>原資料に回避技能なし。回避適性6は現行ゲームの暫定値</x:v>
      </x:c>
    </x:row>
    <x:row r="7" ht="36" customHeight="1">
      <x:c r="A7" s="17" t="str">
        <x:f>'ステ一覧'!A7</x:f>
        <x:v>アルシェ</x:v>
      </x:c>
      <x:c r="B7" s="17" t="str">
        <x:f>'ステ一覧'!B7</x:f>
        <x:v>成長後</x:v>
      </x:c>
      <x:c r="C7" s="19" t="n">
        <x:f>'ステ一覧'!I7</x:f>
        <x:v>11</x:v>
      </x:c>
      <x:c r="D7" s="19" t="n">
        <x:f>'ステ一覧'!J7</x:f>
        <x:v>12</x:v>
      </x:c>
      <x:c r="E7" s="19" t="n">
        <x:f>'換算元'!N7</x:f>
        <x:v>13</x:v>
      </x:c>
      <x:c r="F7" s="19" t="n">
        <x:f>MAX(-10,MIN(5,11-E7))</x:f>
        <x:v>-2</x:v>
      </x:c>
      <x:c r="G7" s="27" t="n">
        <x:f>60+C7*2.5</x:f>
        <x:v>87.5</x:v>
      </x:c>
      <x:c r="H7" s="27" t="n">
        <x:f>D7*2.5+F7</x:f>
        <x:v>28</x:v>
      </x:c>
      <x:c r="I7" s="19" t="n">
        <x:f>'換算元'!O7</x:f>
        <x:v>7</x:v>
      </x:c>
      <x:c r="J7" s="31" t="str">
        <x:v>未決</x:v>
      </x:c>
      <x:c r="K7" s="31" t="str">
        <x:v>未決</x:v>
      </x:c>
      <x:c r="L7" s="31" t="str">
        <x:v>未決</x:v>
      </x:c>
      <x:c r="M7" s="23" t="str">
        <x:f>IF('換算元'!S7="","",'換算元'!S7)</x:f>
        <x:v>比較用の成長後資料</x:v>
      </x:c>
    </x:row>
    <x:row r="8" ht="36" customHeight="1">
      <x:c r="A8" s="17" t="str">
        <x:f>'ステ一覧'!A8</x:f>
        <x:v>リングホルム</x:v>
      </x:c>
      <x:c r="B8" s="17" t="str">
        <x:f>'ステ一覧'!B8</x:f>
        <x:v>Lv5資料</x:v>
      </x:c>
      <x:c r="C8" s="19" t="n">
        <x:f>'ステ一覧'!I8</x:f>
        <x:v>11</x:v>
      </x:c>
      <x:c r="D8" s="19" t="n">
        <x:f>'ステ一覧'!J8</x:f>
        <x:v>14</x:v>
      </x:c>
      <x:c r="E8" s="19" t="n">
        <x:f>'換算元'!N8</x:f>
        <x:v>10</x:v>
      </x:c>
      <x:c r="F8" s="19" t="n">
        <x:f>MAX(-10,MIN(5,11-E8))</x:f>
        <x:v>1</x:v>
      </x:c>
      <x:c r="G8" s="27" t="n">
        <x:f>60+C8*2.5</x:f>
        <x:v>87.5</x:v>
      </x:c>
      <x:c r="H8" s="27" t="n">
        <x:f>D8*2.5+F8</x:f>
        <x:v>36</x:v>
      </x:c>
      <x:c r="I8" s="19" t="n">
        <x:f>'換算元'!O8</x:f>
        <x:v>9</x:v>
      </x:c>
      <x:c r="J8" s="31" t="str">
        <x:v>未決</x:v>
      </x:c>
      <x:c r="K8" s="31" t="str">
        <x:v>未決</x:v>
      </x:c>
      <x:c r="L8" s="31" t="str">
        <x:v>未決</x:v>
      </x:c>
      <x:c r="M8" s="23" t="str">
        <x:f>IF('換算元'!S8="","",'換算元'!S8)</x:f>
        <x:v>表ルートの完成済み強者として換算</x:v>
      </x:c>
    </x:row>
    <x:row r="9" ht="36" customHeight="1">
      <x:c r="A9" s="17" t="str">
        <x:f>'ステ一覧'!A9</x:f>
        <x:v>アルバス</x:v>
      </x:c>
      <x:c r="B9" s="17" t="str">
        <x:f>'ステ一覧'!B9</x:f>
        <x:v>Lv5資料</x:v>
      </x:c>
      <x:c r="C9" s="19" t="n">
        <x:f>'ステ一覧'!I9</x:f>
        <x:v>18</x:v>
      </x:c>
      <x:c r="D9" s="19" t="n">
        <x:f>'ステ一覧'!J9</x:f>
        <x:v>9</x:v>
      </x:c>
      <x:c r="E9" s="19" t="n">
        <x:f>'換算元'!N9</x:f>
        <x:v>15</x:v>
      </x:c>
      <x:c r="F9" s="19" t="n">
        <x:f>MAX(-10,MIN(5,11-E9))</x:f>
        <x:v>-4</x:v>
      </x:c>
      <x:c r="G9" s="27" t="n">
        <x:f>60+C9*2.5</x:f>
        <x:v>105</x:v>
      </x:c>
      <x:c r="H9" s="27" t="n">
        <x:f>D9*2.5+F9</x:f>
        <x:v>18.5</x:v>
      </x:c>
      <x:c r="I9" s="19" t="n">
        <x:f>'換算元'!O9</x:f>
        <x:v>0</x:v>
      </x:c>
      <x:c r="J9" s="31" t="str">
        <x:v>未決</x:v>
      </x:c>
      <x:c r="K9" s="31" t="str">
        <x:v>未決</x:v>
      </x:c>
      <x:c r="L9" s="31" t="str">
        <x:v>未決</x:v>
      </x:c>
      <x:c r="M9" s="23" t="str">
        <x:f>IF('換算元'!S9="","",'換算元'!S9)</x:f>
        <x:v>回避適性0。高魔攻・高魔防だが回避型にはしない</x:v>
      </x:c>
    </x:row>
    <x:row r="10" ht="36" customHeight="1">
      <x:c r="A10" s="17" t="str">
        <x:f>'ステ一覧'!A10</x:f>
        <x:v>カリマ</x:v>
      </x:c>
      <x:c r="B10" s="17" t="str">
        <x:f>'ステ一覧'!B10</x:f>
        <x:v>幼少期</x:v>
      </x:c>
      <x:c r="C10" s="19" t="n">
        <x:f>'ステ一覧'!I10</x:f>
        <x:v>9</x:v>
      </x:c>
      <x:c r="D10" s="19" t="n">
        <x:f>'ステ一覧'!J10</x:f>
        <x:v>10</x:v>
      </x:c>
      <x:c r="E10" s="19" t="n">
        <x:f>'換算元'!N10</x:f>
        <x:v>13</x:v>
      </x:c>
      <x:c r="F10" s="19" t="n">
        <x:f>MAX(-10,MIN(5,11-E10))</x:f>
        <x:v>-2</x:v>
      </x:c>
      <x:c r="G10" s="27" t="n">
        <x:f>60+C10*2.5</x:f>
        <x:v>82.5</x:v>
      </x:c>
      <x:c r="H10" s="27" t="n">
        <x:f>D10*2.5+F10</x:f>
        <x:v>23</x:v>
      </x:c>
      <x:c r="I10" s="19" t="n">
        <x:f>'換算元'!O10</x:f>
        <x:v>6</x:v>
      </x:c>
      <x:c r="J10" s="31" t="str">
        <x:v>未決</x:v>
      </x:c>
      <x:c r="K10" s="31" t="str">
        <x:v>未決</x:v>
      </x:c>
      <x:c r="L10" s="31" t="str">
        <x:v>未決</x:v>
      </x:c>
      <x:c r="M10" s="23" t="str">
        <x:f>IF('換算元'!S10="","",'換算元'!S10)</x:f>
        <x:v>原資料に回避技能なし。回避適性6は現行ゲームの暫定値</x:v>
      </x:c>
    </x:row>
    <x:row r="11" ht="36" customHeight="1">
      <x:c r="A11" s="17" t="str">
        <x:f>'ステ一覧'!A11</x:f>
        <x:v>カリマ</x:v>
      </x:c>
      <x:c r="B11" s="17" t="str">
        <x:f>'ステ一覧'!B11</x:f>
        <x:v>成長後</x:v>
      </x:c>
      <x:c r="C11" s="19" t="n">
        <x:f>'ステ一覧'!I11</x:f>
        <x:v>13</x:v>
      </x:c>
      <x:c r="D11" s="19" t="n">
        <x:f>'ステ一覧'!J11</x:f>
        <x:v>13</x:v>
      </x:c>
      <x:c r="E11" s="19" t="n">
        <x:f>'換算元'!N11</x:f>
        <x:v>13</x:v>
      </x:c>
      <x:c r="F11" s="19" t="n">
        <x:f>MAX(-10,MIN(5,11-E11))</x:f>
        <x:v>-2</x:v>
      </x:c>
      <x:c r="G11" s="27" t="n">
        <x:f>60+C11*2.5</x:f>
        <x:v>92.5</x:v>
      </x:c>
      <x:c r="H11" s="27" t="n">
        <x:f>D11*2.5+F11</x:f>
        <x:v>30.5</x:v>
      </x:c>
      <x:c r="I11" s="19" t="n">
        <x:f>'換算元'!O11</x:f>
        <x:v>7</x:v>
      </x:c>
      <x:c r="J11" s="31" t="str">
        <x:v>未決</x:v>
      </x:c>
      <x:c r="K11" s="31" t="str">
        <x:v>未決</x:v>
      </x:c>
      <x:c r="L11" s="31" t="str">
        <x:v>未決</x:v>
      </x:c>
      <x:c r="M11" s="23" t="str">
        <x:f>IF('換算元'!S11="","",'換算元'!S11)</x:f>
        <x:v>比較用の成長後資料</x:v>
      </x:c>
    </x:row>
    <x:row r="12" ht="36" customHeight="1">
      <x:c r="A12" s="17" t="str">
        <x:f>'ステ一覧'!A12</x:f>
        <x:v>ディラン</x:v>
      </x:c>
      <x:c r="B12" s="17" t="str">
        <x:f>'ステ一覧'!B12</x:f>
        <x:v>竜人戦闘時</x:v>
      </x:c>
      <x:c r="C12" s="19" t="n">
        <x:f>'ステ一覧'!I12</x:f>
        <x:v>13</x:v>
      </x:c>
      <x:c r="D12" s="19" t="n">
        <x:f>'ステ一覧'!J12</x:f>
        <x:v>13</x:v>
      </x:c>
      <x:c r="E12" s="19" t="n">
        <x:f>'換算元'!N12</x:f>
        <x:v>25</x:v>
      </x:c>
      <x:c r="F12" s="19" t="n">
        <x:f>MAX(-10,MIN(5,11-E12))</x:f>
        <x:v>-10</x:v>
      </x:c>
      <x:c r="G12" s="27" t="n">
        <x:f>60+C12*2.5</x:f>
        <x:v>92.5</x:v>
      </x:c>
      <x:c r="H12" s="27" t="n">
        <x:f>D12*2.5+F12</x:f>
        <x:v>22.5</x:v>
      </x:c>
      <x:c r="I12" s="19" t="n">
        <x:f>'換算元'!O12</x:f>
        <x:v>7</x:v>
      </x:c>
      <x:c r="J12" s="31" t="str">
        <x:v>未決</x:v>
      </x:c>
      <x:c r="K12" s="31" t="str">
        <x:v>未決</x:v>
      </x:c>
      <x:c r="L12" s="31" t="str">
        <x:v>未決</x:v>
      </x:c>
      <x:c r="M12" s="23" t="str">
        <x:f>IF('換算元'!S12="","",'換算元'!S12)</x:f>
        <x:v>SIZ増加後を標準戦闘状態として使用。通常HP26・SIZ15</x:v>
      </x:c>
    </x:row>
    <x:row r="13" ht="36" customHeight="1">
      <x:c r="A13" s="17" t="str">
        <x:f>'ステ一覧'!A13</x:f>
        <x:v>バルド</x:v>
      </x:c>
      <x:c r="B13" s="17" t="str">
        <x:f>'ステ一覧'!B13</x:f>
        <x:v>竜人戦闘時</x:v>
      </x:c>
      <x:c r="C13" s="19" t="n">
        <x:f>'ステ一覧'!I13</x:f>
        <x:v>12</x:v>
      </x:c>
      <x:c r="D13" s="19" t="n">
        <x:f>'ステ一覧'!J13</x:f>
        <x:v>11</x:v>
      </x:c>
      <x:c r="E13" s="19" t="n">
        <x:f>'換算元'!N13</x:f>
        <x:v>23</x:v>
      </x:c>
      <x:c r="F13" s="19" t="n">
        <x:f>MAX(-10,MIN(5,11-E13))</x:f>
        <x:v>-10</x:v>
      </x:c>
      <x:c r="G13" s="27" t="n">
        <x:f>60+C13*2.5</x:f>
        <x:v>90</x:v>
      </x:c>
      <x:c r="H13" s="27" t="n">
        <x:f>D13*2.5+F13</x:f>
        <x:v>17.5</x:v>
      </x:c>
      <x:c r="I13" s="19" t="n">
        <x:f>'換算元'!O13</x:f>
        <x:v>5</x:v>
      </x:c>
      <x:c r="J13" s="31" t="str">
        <x:v>未決</x:v>
      </x:c>
      <x:c r="K13" s="31" t="str">
        <x:v>未決</x:v>
      </x:c>
      <x:c r="L13" s="31" t="str">
        <x:v>未決</x:v>
      </x:c>
      <x:c r="M13" s="23" t="str">
        <x:f>IF('換算元'!S13="","",'換算元'!S13)</x:f>
        <x:v>SIZ増加後を標準戦闘状態として使用。通常HP28・SIZ14</x:v>
      </x:c>
    </x:row>
    <x:row r="14" ht="36" customHeight="1">
      <x:c r="A14" s="17" t="str">
        <x:f>'ステ一覧'!A14</x:f>
        <x:v>イヴァン</x:v>
      </x:c>
      <x:c r="B14" s="17" t="str">
        <x:f>'ステ一覧'!B14</x:f>
        <x:v>Lv4資料</x:v>
      </x:c>
      <x:c r="C14" s="19" t="n">
        <x:f>'ステ一覧'!I14</x:f>
        <x:v>11</x:v>
      </x:c>
      <x:c r="D14" s="19" t="n">
        <x:f>'ステ一覧'!J14</x:f>
        <x:v>12</x:v>
      </x:c>
      <x:c r="E14" s="19" t="n">
        <x:f>'換算元'!N14</x:f>
        <x:v>15</x:v>
      </x:c>
      <x:c r="F14" s="19" t="n">
        <x:f>MAX(-10,MIN(5,11-E14))</x:f>
        <x:v>-4</x:v>
      </x:c>
      <x:c r="G14" s="27" t="n">
        <x:f>60+C14*2.5</x:f>
        <x:v>87.5</x:v>
      </x:c>
      <x:c r="H14" s="27" t="n">
        <x:f>D14*2.5+F14</x:f>
        <x:v>26</x:v>
      </x:c>
      <x:c r="I14" s="19" t="n">
        <x:f>'換算元'!O14</x:f>
        <x:v>7</x:v>
      </x:c>
      <x:c r="J14" s="31" t="str">
        <x:v>未決</x:v>
      </x:c>
      <x:c r="K14" s="31" t="str">
        <x:v>未決</x:v>
      </x:c>
      <x:c r="L14" s="31" t="str">
        <x:v>未決</x:v>
      </x:c>
      <x:c r="M14" s="23" t="str">
        <x:f>IF('換算元'!S14="","",'換算元'!S14)</x:f>
      </x:c>
    </x:row>
    <x:row r="15" ht="36" customHeight="1">
      <x:c r="A15" s="17" t="str">
        <x:f>'ステ一覧'!A15</x:f>
        <x:v>ユエル（エギュン）</x:v>
      </x:c>
      <x:c r="B15" s="17" t="str">
        <x:f>'ステ一覧'!B15</x:f>
        <x:v>Lv3資料</x:v>
      </x:c>
      <x:c r="C15" s="19" t="n">
        <x:f>'ステ一覧'!I15</x:f>
        <x:v>10</x:v>
      </x:c>
      <x:c r="D15" s="19" t="n">
        <x:f>'ステ一覧'!J15</x:f>
        <x:v>12</x:v>
      </x:c>
      <x:c r="E15" s="19" t="n">
        <x:f>'換算元'!N15</x:f>
        <x:v>8</x:v>
      </x:c>
      <x:c r="F15" s="19" t="n">
        <x:f>MAX(-10,MIN(5,11-E15))</x:f>
        <x:v>3</x:v>
      </x:c>
      <x:c r="G15" s="27" t="n">
        <x:f>60+C15*2.5</x:f>
        <x:v>85</x:v>
      </x:c>
      <x:c r="H15" s="27" t="n">
        <x:f>D15*2.5+F15</x:f>
        <x:v>33</x:v>
      </x:c>
      <x:c r="I15" s="19" t="n">
        <x:f>'換算元'!O15</x:f>
        <x:v>7</x:v>
      </x:c>
      <x:c r="J15" s="31" t="str">
        <x:v>未決</x:v>
      </x:c>
      <x:c r="K15" s="31" t="str">
        <x:v>未決</x:v>
      </x:c>
      <x:c r="L15" s="31" t="str">
        <x:v>未決</x:v>
      </x:c>
      <x:c r="M15" s="23" t="str">
        <x:f>IF('換算元'!S15="","",'換算元'!S15)</x:f>
      </x:c>
    </x:row>
    <x:row r="16" ht="36" customHeight="1">
      <x:c r="A16" s="17" t="str">
        <x:f>'ステ一覧'!A16</x:f>
        <x:v>カルラ</x:v>
      </x:c>
      <x:c r="B16" s="17" t="str">
        <x:f>'ステ一覧'!B16</x:f>
        <x:v>通常・Lv1</x:v>
      </x:c>
      <x:c r="C16" s="19" t="n">
        <x:f>'ステ一覧'!I16</x:f>
        <x:v>7</x:v>
      </x:c>
      <x:c r="D16" s="19" t="n">
        <x:f>'ステ一覧'!J16</x:f>
        <x:v>8</x:v>
      </x:c>
      <x:c r="E16" s="19" t="n">
        <x:f>'換算元'!N16</x:f>
        <x:v>12</x:v>
      </x:c>
      <x:c r="F16" s="19" t="n">
        <x:f>MAX(-10,MIN(5,11-E16))</x:f>
        <x:v>-1</x:v>
      </x:c>
      <x:c r="G16" s="27" t="n">
        <x:f>60+C16*2.5</x:f>
        <x:v>77.5</x:v>
      </x:c>
      <x:c r="H16" s="27" t="n">
        <x:f>D16*2.5+F16</x:f>
        <x:v>19</x:v>
      </x:c>
      <x:c r="I16" s="19" t="n">
        <x:f>'換算元'!O16</x:f>
        <x:v>5</x:v>
      </x:c>
      <x:c r="J16" s="31" t="str">
        <x:v>未決</x:v>
      </x:c>
      <x:c r="K16" s="31" t="str">
        <x:v>未決</x:v>
      </x:c>
      <x:c r="L16" s="31" t="str">
        <x:v>未決</x:v>
      </x:c>
      <x:c r="M16" s="23" t="str">
        <x:f>IF('換算元'!S16="","",'換算元'!S16)</x:f>
        <x:v>資料上の名称はカルラ（通常）</x:v>
      </x:c>
    </x:row>
    <x:row r="17" ht="36" customHeight="1">
      <x:c r="A17" s="17" t="str">
        <x:f>'ステ一覧'!A17</x:f>
        <x:v>ギュンター</x:v>
      </x:c>
      <x:c r="B17" s="17" t="str">
        <x:f>'ステ一覧'!B17</x:f>
        <x:v>Lv4資料</x:v>
      </x:c>
      <x:c r="C17" s="19" t="n">
        <x:f>'ステ一覧'!I17</x:f>
        <x:v>15</x:v>
      </x:c>
      <x:c r="D17" s="19" t="n">
        <x:f>'ステ一覧'!J17</x:f>
        <x:v>15</x:v>
      </x:c>
      <x:c r="E17" s="19" t="n">
        <x:f>'換算元'!N17</x:f>
        <x:v>15</x:v>
      </x:c>
      <x:c r="F17" s="19" t="n">
        <x:f>MAX(-10,MIN(5,11-E17))</x:f>
        <x:v>-4</x:v>
      </x:c>
      <x:c r="G17" s="27" t="n">
        <x:f>60+C17*2.5</x:f>
        <x:v>97.5</x:v>
      </x:c>
      <x:c r="H17" s="27" t="n">
        <x:f>D17*2.5+F17</x:f>
        <x:v>33.5</x:v>
      </x:c>
      <x:c r="I17" s="19" t="n">
        <x:f>'換算元'!O17</x:f>
        <x:v>8</x:v>
      </x:c>
      <x:c r="J17" s="31" t="str">
        <x:v>未決</x:v>
      </x:c>
      <x:c r="K17" s="31" t="str">
        <x:v>未決</x:v>
      </x:c>
      <x:c r="L17" s="31" t="str">
        <x:v>未決</x:v>
      </x:c>
      <x:c r="M17" s="23" t="str">
        <x:f>IF('換算元'!S17="","",'換算元'!S17)</x:f>
        <x:v>召喚獣メモは一覧対象外</x:v>
      </x:c>
    </x:row>
    <x:row r="18" ht="36" customHeight="1">
      <x:c r="A18" s="17" t="str">
        <x:f>'ステ一覧'!A18</x:f>
        <x:v>ギュンター？</x:v>
      </x:c>
      <x:c r="B18" s="17" t="str">
        <x:f>'ステ一覧'!B18</x:f>
        <x:v>Lv2資料・要確認</x:v>
      </x:c>
      <x:c r="C18" s="19" t="n">
        <x:f>'ステ一覧'!I18</x:f>
        <x:v>12</x:v>
      </x:c>
      <x:c r="D18" s="19" t="n">
        <x:f>'ステ一覧'!J18</x:f>
        <x:v>13</x:v>
      </x:c>
      <x:c r="E18" s="19" t="n">
        <x:f>'換算元'!N18</x:f>
        <x:v>4</x:v>
      </x:c>
      <x:c r="F18" s="19" t="n">
        <x:f>MAX(-10,MIN(5,11-E18))</x:f>
        <x:v>5</x:v>
      </x:c>
      <x:c r="G18" s="27" t="n">
        <x:f>60+C18*2.5</x:f>
        <x:v>90</x:v>
      </x:c>
      <x:c r="H18" s="27" t="n">
        <x:f>D18*2.5+F18</x:f>
        <x:v>37.5</x:v>
      </x:c>
      <x:c r="I18" s="19" t="n">
        <x:f>'換算元'!O18</x:f>
        <x:v>7</x:v>
      </x:c>
      <x:c r="J18" s="31" t="str">
        <x:v>未決</x:v>
      </x:c>
      <x:c r="K18" s="31" t="str">
        <x:v>未決</x:v>
      </x:c>
      <x:c r="L18" s="31" t="str">
        <x:v>未決</x:v>
      </x:c>
      <x:c r="M18" s="23" t="str">
        <x:f>IF('換算元'!S18="","",'換算元'!S18)</x:f>
        <x:v>ファイル名はベル、本文Nameはギュンター。勇気はステ欄55、コピペ欄75で不一致</x:v>
      </x:c>
    </x:row>
    <x:row r="19" ht="36" customHeight="1">
      <x:c r="A19" s="17" t="str">
        <x:f>'ステ一覧'!A19</x:f>
        <x:v>ジャック</x:v>
      </x:c>
      <x:c r="B19" s="17" t="str">
        <x:f>'ステ一覧'!B19</x:f>
        <x:v>Lv4資料</x:v>
      </x:c>
      <x:c r="C19" s="19" t="n">
        <x:f>'ステ一覧'!I19</x:f>
        <x:v>11</x:v>
      </x:c>
      <x:c r="D19" s="19" t="n">
        <x:f>'ステ一覧'!J19</x:f>
        <x:v>12</x:v>
      </x:c>
      <x:c r="E19" s="19" t="n">
        <x:f>'換算元'!N19</x:f>
        <x:v>14</x:v>
      </x:c>
      <x:c r="F19" s="19" t="n">
        <x:f>MAX(-10,MIN(5,11-E19))</x:f>
        <x:v>-3</x:v>
      </x:c>
      <x:c r="G19" s="27" t="n">
        <x:f>60+C19*2.5</x:f>
        <x:v>87.5</x:v>
      </x:c>
      <x:c r="H19" s="27" t="n">
        <x:f>D19*2.5+F19</x:f>
        <x:v>27</x:v>
      </x:c>
      <x:c r="I19" s="19" t="n">
        <x:f>'換算元'!O19</x:f>
        <x:v>7</x:v>
      </x:c>
      <x:c r="J19" s="31" t="str">
        <x:v>未決</x:v>
      </x:c>
      <x:c r="K19" s="31" t="str">
        <x:v>未決</x:v>
      </x:c>
      <x:c r="L19" s="31" t="str">
        <x:v>未決</x:v>
      </x:c>
      <x:c r="M19" s="23" t="str">
        <x:f>IF('換算元'!S19="","",'換算元'!S19)</x:f>
      </x:c>
    </x:row>
    <x:row r="20" ht="36" customHeight="1">
      <x:c r="A20" s="17" t="str">
        <x:f>'ステ一覧'!A20</x:f>
        <x:v>フィロ</x:v>
      </x:c>
      <x:c r="B20" s="17" t="str">
        <x:f>'ステ一覧'!B20</x:f>
        <x:v>Lv4資料</x:v>
      </x:c>
      <x:c r="C20" s="19" t="n">
        <x:f>'ステ一覧'!I20</x:f>
        <x:v>8</x:v>
      </x:c>
      <x:c r="D20" s="19" t="n">
        <x:f>'ステ一覧'!J20</x:f>
        <x:v>10</x:v>
      </x:c>
      <x:c r="E20" s="19" t="n">
        <x:f>'換算元'!N20</x:f>
        <x:v>14</x:v>
      </x:c>
      <x:c r="F20" s="19" t="n">
        <x:f>MAX(-10,MIN(5,11-E20))</x:f>
        <x:v>-3</x:v>
      </x:c>
      <x:c r="G20" s="27" t="n">
        <x:f>60+C20*2.5</x:f>
        <x:v>80</x:v>
      </x:c>
      <x:c r="H20" s="27" t="n">
        <x:f>D20*2.5+F20</x:f>
        <x:v>22</x:v>
      </x:c>
      <x:c r="I20" s="19" t="n">
        <x:f>'換算元'!O20</x:f>
        <x:v>6</x:v>
      </x:c>
      <x:c r="J20" s="31" t="str">
        <x:v>未決</x:v>
      </x:c>
      <x:c r="K20" s="31" t="str">
        <x:v>未決</x:v>
      </x:c>
      <x:c r="L20" s="31" t="str">
        <x:v>未決</x:v>
      </x:c>
      <x:c r="M20" s="23" t="str">
        <x:f>IF('換算元'!S20="","",'換算元'!S20)</x:f>
      </x:c>
    </x:row>
    <x:row r="21" ht="36" customHeight="1">
      <x:c r="A21" s="17" t="str">
        <x:f>'ステ一覧'!A21</x:f>
        <x:v>ヘレル</x:v>
      </x:c>
      <x:c r="B21" s="17" t="str">
        <x:f>'ステ一覧'!B21</x:f>
        <x:v>Lv4資料</x:v>
      </x:c>
      <x:c r="C21" s="19" t="n">
        <x:f>'ステ一覧'!I21</x:f>
        <x:v>10</x:v>
      </x:c>
      <x:c r="D21" s="19" t="n">
        <x:f>'ステ一覧'!J21</x:f>
        <x:v>11</x:v>
      </x:c>
      <x:c r="E21" s="19" t="n">
        <x:f>'換算元'!N21</x:f>
        <x:v>13</x:v>
      </x:c>
      <x:c r="F21" s="19" t="n">
        <x:f>MAX(-10,MIN(5,11-E21))</x:f>
        <x:v>-2</x:v>
      </x:c>
      <x:c r="G21" s="27" t="n">
        <x:f>60+C21*2.5</x:f>
        <x:v>85</x:v>
      </x:c>
      <x:c r="H21" s="27" t="n">
        <x:f>D21*2.5+F21</x:f>
        <x:v>25.5</x:v>
      </x:c>
      <x:c r="I21" s="19" t="n">
        <x:f>'換算元'!O21</x:f>
        <x:v>6</x:v>
      </x:c>
      <x:c r="J21" s="31" t="str">
        <x:v>未決</x:v>
      </x:c>
      <x:c r="K21" s="31" t="str">
        <x:v>未決</x:v>
      </x:c>
      <x:c r="L21" s="31" t="str">
        <x:v>未決</x:v>
      </x:c>
      <x:c r="M21" s="23" t="str">
        <x:f>IF('換算元'!S21="","",'換算元'!S21)</x:f>
      </x:c>
    </x:row>
    <x:row r="22" ht="36" customHeight="1">
      <x:c r="A22" s="17" t="str">
        <x:f>'ステ一覧'!A22</x:f>
        <x:v>ロイ</x:v>
      </x:c>
      <x:c r="B22" s="17" t="str">
        <x:f>'ステ一覧'!B22</x:f>
        <x:v>Lv3資料</x:v>
      </x:c>
      <x:c r="C22" s="19" t="n">
        <x:f>'ステ一覧'!I22</x:f>
        <x:v>8</x:v>
      </x:c>
      <x:c r="D22" s="19" t="n">
        <x:f>'ステ一覧'!J22</x:f>
        <x:v>10</x:v>
      </x:c>
      <x:c r="E22" s="19" t="n">
        <x:f>'換算元'!N22</x:f>
        <x:v>11</x:v>
      </x:c>
      <x:c r="F22" s="19" t="n">
        <x:f>MAX(-10,MIN(5,11-E22))</x:f>
        <x:v>0</x:v>
      </x:c>
      <x:c r="G22" s="27" t="n">
        <x:f>60+C22*2.5</x:f>
        <x:v>80</x:v>
      </x:c>
      <x:c r="H22" s="27" t="n">
        <x:f>D22*2.5+F22</x:f>
        <x:v>25</x:v>
      </x:c>
      <x:c r="I22" s="19" t="n">
        <x:f>'換算元'!O22</x:f>
        <x:v>6</x:v>
      </x:c>
      <x:c r="J22" s="31" t="str">
        <x:v>未決</x:v>
      </x:c>
      <x:c r="K22" s="31" t="str">
        <x:v>未決</x:v>
      </x:c>
      <x:c r="L22" s="31" t="str">
        <x:v>未決</x:v>
      </x:c>
      <x:c r="M22" s="23" t="str">
        <x:f>IF('換算元'!S22="","",'換算元'!S22)</x:f>
      </x:c>
    </x:row>
    <x:row r="23">
      <x:c r="A23" s="8"/>
      <x:c r="B23" s="8"/>
      <x:c r="C23" s="8"/>
      <x:c r="D23" s="8"/>
      <x:c r="E23" s="8"/>
      <x:c r="F23" s="8"/>
      <x:c r="G23" s="8"/>
      <x:c r="H23" s="8"/>
      <x:c r="I23" s="8"/>
      <x:c r="J23" s="8"/>
      <x:c r="K23" s="8"/>
      <x:c r="L23" s="8"/>
      <x:c r="M23" s="8"/>
    </x:row>
    <x:row r="24">
      <x:c r="A24" s="8"/>
      <x:c r="B24" s="8"/>
      <x:c r="C24" s="8"/>
      <x:c r="D24" s="8"/>
      <x:c r="E24" s="8"/>
      <x:c r="F24" s="8"/>
      <x:c r="G24" s="8"/>
      <x:c r="H24" s="8"/>
      <x:c r="I24" s="8"/>
      <x:c r="J24" s="8"/>
      <x:c r="K24" s="8"/>
      <x:c r="L24" s="8"/>
      <x:c r="M24" s="8"/>
    </x:row>
    <x:row r="25">
      <x:c r="A25" s="8"/>
      <x:c r="B25" s="8"/>
      <x:c r="C25" s="8"/>
      <x:c r="D25" s="8"/>
      <x:c r="E25" s="8"/>
      <x:c r="F25" s="8"/>
      <x:c r="G25" s="8"/>
      <x:c r="H25" s="8"/>
      <x:c r="I25" s="8"/>
      <x:c r="J25" s="8"/>
      <x:c r="K25" s="8"/>
      <x:c r="L25" s="8"/>
      <x:c r="M25" s="8"/>
    </x:row>
    <x:row r="26">
      <x:c r="A26" s="8"/>
      <x:c r="B26" s="8"/>
      <x:c r="C26" s="8"/>
      <x:c r="D26" s="8"/>
      <x:c r="E26" s="8"/>
      <x:c r="F26" s="8"/>
      <x:c r="G26" s="8"/>
      <x:c r="H26" s="8"/>
      <x:c r="I26" s="8"/>
      <x:c r="J26" s="8"/>
      <x:c r="K26" s="8"/>
      <x:c r="L26" s="8"/>
      <x:c r="M26" s="8"/>
    </x:row>
    <x:row r="27">
      <x:c r="A27" s="8"/>
      <x:c r="B27" s="8"/>
      <x:c r="C27" s="8"/>
      <x:c r="D27" s="8"/>
      <x:c r="E27" s="8"/>
      <x:c r="F27" s="8"/>
      <x:c r="G27" s="8"/>
      <x:c r="H27" s="8"/>
      <x:c r="I27" s="8"/>
      <x:c r="J27" s="8"/>
      <x:c r="K27" s="8"/>
      <x:c r="L27" s="8"/>
      <x:c r="M27" s="8"/>
    </x:row>
    <x:row r="28">
      <x:c r="A28" s="8"/>
      <x:c r="B28" s="8"/>
      <x:c r="C28" s="8"/>
      <x:c r="D28" s="8"/>
      <x:c r="E28" s="8"/>
      <x:c r="F28" s="8"/>
      <x:c r="G28" s="8"/>
      <x:c r="H28" s="8"/>
      <x:c r="I28" s="8"/>
      <x:c r="J28" s="8"/>
      <x:c r="K28" s="8"/>
      <x:c r="L28" s="8"/>
      <x:c r="M28" s="8"/>
    </x:row>
    <x:row r="29">
      <x:c r="A29" s="8"/>
      <x:c r="B29" s="8"/>
      <x:c r="C29" s="8"/>
      <x:c r="D29" s="8"/>
      <x:c r="E29" s="8"/>
      <x:c r="F29" s="8"/>
      <x:c r="G29" s="8"/>
      <x:c r="H29" s="8"/>
      <x:c r="I29" s="8"/>
      <x:c r="J29" s="8"/>
      <x:c r="K29" s="8"/>
      <x:c r="L29" s="8"/>
      <x:c r="M29" s="8"/>
    </x:row>
    <x:row r="30">
      <x:c r="A30" s="8"/>
      <x:c r="B30" s="8"/>
      <x:c r="C30" s="8"/>
      <x:c r="D30" s="8"/>
      <x:c r="E30" s="8"/>
      <x:c r="F30" s="8"/>
      <x:c r="G30" s="8"/>
      <x:c r="H30" s="8"/>
      <x:c r="I30" s="8"/>
      <x:c r="J30" s="8"/>
      <x:c r="K30" s="8"/>
      <x:c r="L30" s="8"/>
      <x:c r="M30" s="8"/>
    </x:row>
    <x:row r="31">
      <x:c r="A31" s="8"/>
      <x:c r="B31" s="8"/>
      <x:c r="C31" s="8"/>
      <x:c r="D31" s="8"/>
      <x:c r="E31" s="8"/>
      <x:c r="F31" s="8"/>
      <x:c r="G31" s="8"/>
      <x:c r="H31" s="8"/>
      <x:c r="I31" s="8"/>
      <x:c r="J31" s="8"/>
      <x:c r="K31" s="8"/>
      <x:c r="L31" s="8"/>
      <x:c r="M31" s="8"/>
    </x:row>
    <x:row r="32">
      <x:c r="A32" s="8"/>
      <x:c r="B32" s="8"/>
      <x:c r="C32" s="8"/>
      <x:c r="D32" s="8"/>
      <x:c r="E32" s="8"/>
      <x:c r="F32" s="8"/>
      <x:c r="G32" s="8"/>
      <x:c r="H32" s="8"/>
      <x:c r="I32" s="8"/>
      <x:c r="J32" s="8"/>
      <x:c r="K32" s="8"/>
      <x:c r="L32" s="8"/>
      <x:c r="M32" s="8"/>
    </x:row>
    <x:row r="33">
      <x:c r="A33" s="8"/>
      <x:c r="B33" s="8"/>
      <x:c r="C33" s="8"/>
      <x:c r="D33" s="8"/>
      <x:c r="E33" s="8"/>
      <x:c r="F33" s="8"/>
      <x:c r="G33" s="8"/>
      <x:c r="H33" s="8"/>
      <x:c r="I33" s="8"/>
      <x:c r="J33" s="8"/>
      <x:c r="K33" s="8"/>
      <x:c r="L33" s="8"/>
      <x:c r="M33" s="8"/>
    </x:row>
    <x:row r="34">
      <x:c r="A34" s="8"/>
      <x:c r="B34" s="8"/>
      <x:c r="C34" s="8"/>
      <x:c r="D34" s="8"/>
      <x:c r="E34" s="8"/>
      <x:c r="F34" s="8"/>
      <x:c r="G34" s="8"/>
      <x:c r="H34" s="8"/>
      <x:c r="I34" s="8"/>
      <x:c r="J34" s="8"/>
      <x:c r="K34" s="8"/>
      <x:c r="L34" s="8"/>
      <x:c r="M34" s="8"/>
    </x:row>
    <x:row r="35">
      <x:c r="A35" s="8"/>
      <x:c r="B35" s="8"/>
      <x:c r="C35" s="8"/>
      <x:c r="D35" s="8"/>
      <x:c r="E35" s="8"/>
      <x:c r="F35" s="8"/>
      <x:c r="G35" s="8"/>
      <x:c r="H35" s="8"/>
      <x:c r="I35" s="8"/>
      <x:c r="J35" s="8"/>
      <x:c r="K35" s="8"/>
      <x:c r="L35" s="8"/>
      <x:c r="M35" s="8"/>
    </x:row>
    <x:row r="36">
      <x:c r="A36" s="8"/>
      <x:c r="B36" s="8"/>
      <x:c r="C36" s="8"/>
      <x:c r="D36" s="8"/>
      <x:c r="E36" s="8"/>
      <x:c r="F36" s="8"/>
      <x:c r="G36" s="8"/>
      <x:c r="H36" s="8"/>
      <x:c r="I36" s="8"/>
      <x:c r="J36" s="8"/>
      <x:c r="K36" s="8"/>
      <x:c r="L36" s="8"/>
      <x:c r="M36" s="8"/>
    </x:row>
    <x:row r="37">
      <x:c r="A37" s="8"/>
      <x:c r="B37" s="8"/>
      <x:c r="C37" s="8"/>
      <x:c r="D37" s="8"/>
      <x:c r="E37" s="8"/>
      <x:c r="F37" s="8"/>
      <x:c r="G37" s="8"/>
      <x:c r="H37" s="8"/>
      <x:c r="I37" s="8"/>
      <x:c r="J37" s="8"/>
      <x:c r="K37" s="8"/>
      <x:c r="L37" s="8"/>
      <x:c r="M37" s="8"/>
    </x:row>
    <x:row r="38">
      <x:c r="A38" s="8"/>
      <x:c r="B38" s="8"/>
      <x:c r="C38" s="8"/>
      <x:c r="D38" s="8"/>
      <x:c r="E38" s="8"/>
      <x:c r="F38" s="8"/>
      <x:c r="G38" s="8"/>
      <x:c r="H38" s="8"/>
      <x:c r="I38" s="8"/>
      <x:c r="J38" s="8"/>
      <x:c r="K38" s="8"/>
      <x:c r="L38" s="8"/>
      <x:c r="M38" s="8"/>
    </x:row>
    <x:row r="39">
      <x:c r="A39" s="8"/>
      <x:c r="B39" s="8"/>
      <x:c r="C39" s="8"/>
      <x:c r="D39" s="8"/>
      <x:c r="E39" s="8"/>
      <x:c r="F39" s="8"/>
      <x:c r="G39" s="8"/>
      <x:c r="H39" s="8"/>
      <x:c r="I39" s="8"/>
      <x:c r="J39" s="8"/>
      <x:c r="K39" s="8"/>
      <x:c r="L39" s="8"/>
      <x:c r="M39" s="8"/>
    </x:row>
    <x:row r="40">
      <x:c r="A40" s="8"/>
      <x:c r="B40" s="8"/>
      <x:c r="C40" s="8"/>
      <x:c r="D40" s="8"/>
      <x:c r="E40" s="8"/>
      <x:c r="F40" s="8"/>
      <x:c r="G40" s="8"/>
      <x:c r="H40" s="8"/>
      <x:c r="I40" s="8"/>
      <x:c r="J40" s="8"/>
      <x:c r="K40" s="8"/>
      <x:c r="L40" s="8"/>
      <x:c r="M40" s="8"/>
    </x:row>
    <x:row r="41">
      <x:c r="A41" s="8"/>
      <x:c r="B41" s="8"/>
      <x:c r="C41" s="8"/>
      <x:c r="D41" s="8"/>
      <x:c r="E41" s="8"/>
      <x:c r="F41" s="8"/>
      <x:c r="G41" s="8"/>
      <x:c r="H41" s="8"/>
      <x:c r="I41" s="8"/>
      <x:c r="J41" s="8"/>
      <x:c r="K41" s="8"/>
      <x:c r="L41" s="8"/>
      <x:c r="M41" s="8"/>
    </x:row>
    <x:row r="42">
      <x:c r="A42" s="8"/>
      <x:c r="B42" s="8"/>
      <x:c r="C42" s="8"/>
      <x:c r="D42" s="8"/>
      <x:c r="E42" s="8"/>
      <x:c r="F42" s="8"/>
      <x:c r="G42" s="8"/>
      <x:c r="H42" s="8"/>
      <x:c r="I42" s="8"/>
      <x:c r="J42" s="8"/>
      <x:c r="K42" s="8"/>
      <x:c r="L42" s="8"/>
      <x:c r="M42" s="8"/>
    </x:row>
    <x:row r="43">
      <x:c r="A43" s="8"/>
      <x:c r="B43" s="8"/>
      <x:c r="C43" s="8"/>
      <x:c r="D43" s="8"/>
      <x:c r="E43" s="8"/>
      <x:c r="F43" s="8"/>
      <x:c r="G43" s="8"/>
      <x:c r="H43" s="8"/>
      <x:c r="I43" s="8"/>
      <x:c r="J43" s="8"/>
      <x:c r="K43" s="8"/>
      <x:c r="L43" s="8"/>
      <x:c r="M43" s="8"/>
    </x:row>
    <x:row r="44">
      <x:c r="A44" s="8"/>
      <x:c r="B44" s="8"/>
      <x:c r="C44" s="8"/>
      <x:c r="D44" s="8"/>
      <x:c r="E44" s="8"/>
      <x:c r="F44" s="8"/>
      <x:c r="G44" s="8"/>
      <x:c r="H44" s="8"/>
      <x:c r="I44" s="8"/>
      <x:c r="J44" s="8"/>
      <x:c r="K44" s="8"/>
      <x:c r="L44" s="8"/>
      <x:c r="M44" s="8"/>
    </x:row>
    <x:row r="45">
      <x:c r="A45" s="8"/>
      <x:c r="B45" s="8"/>
      <x:c r="C45" s="8"/>
      <x:c r="D45" s="8"/>
      <x:c r="E45" s="8"/>
      <x:c r="F45" s="8"/>
      <x:c r="G45" s="8"/>
      <x:c r="H45" s="8"/>
      <x:c r="I45" s="8"/>
      <x:c r="J45" s="8"/>
      <x:c r="K45" s="8"/>
      <x:c r="L45" s="8"/>
      <x:c r="M45" s="8"/>
    </x:row>
    <x:row r="46">
      <x:c r="A46" s="8"/>
      <x:c r="B46" s="8"/>
      <x:c r="C46" s="8"/>
      <x:c r="D46" s="8"/>
      <x:c r="E46" s="8"/>
      <x:c r="F46" s="8"/>
      <x:c r="G46" s="8"/>
      <x:c r="H46" s="8"/>
      <x:c r="I46" s="8"/>
      <x:c r="J46" s="8"/>
      <x:c r="K46" s="8"/>
      <x:c r="L46" s="8"/>
      <x:c r="M46" s="8"/>
    </x:row>
    <x:row r="47">
      <x:c r="A47" s="8"/>
      <x:c r="B47" s="8"/>
      <x:c r="C47" s="8"/>
      <x:c r="D47" s="8"/>
      <x:c r="E47" s="8"/>
      <x:c r="F47" s="8"/>
      <x:c r="G47" s="8"/>
      <x:c r="H47" s="8"/>
      <x:c r="I47" s="8"/>
      <x:c r="J47" s="8"/>
      <x:c r="K47" s="8"/>
      <x:c r="L47" s="8"/>
      <x:c r="M47" s="8"/>
    </x:row>
    <x:row r="48">
      <x:c r="A48" s="8"/>
      <x:c r="B48" s="8"/>
      <x:c r="C48" s="8"/>
      <x:c r="D48" s="8"/>
      <x:c r="E48" s="8"/>
      <x:c r="F48" s="8"/>
      <x:c r="G48" s="8"/>
      <x:c r="H48" s="8"/>
      <x:c r="I48" s="8"/>
      <x:c r="J48" s="8"/>
      <x:c r="K48" s="8"/>
      <x:c r="L48" s="8"/>
      <x:c r="M48" s="8"/>
    </x:row>
    <x:row r="49">
      <x:c r="A49" s="8"/>
      <x:c r="B49" s="8"/>
      <x:c r="C49" s="8"/>
      <x:c r="D49" s="8"/>
      <x:c r="E49" s="8"/>
      <x:c r="F49" s="8"/>
      <x:c r="G49" s="8"/>
      <x:c r="H49" s="8"/>
      <x:c r="I49" s="8"/>
      <x:c r="J49" s="8"/>
      <x:c r="K49" s="8"/>
      <x:c r="L49" s="8"/>
      <x:c r="M49" s="8"/>
    </x:row>
    <x:row r="50">
      <x:c r="A50" s="8"/>
      <x:c r="B50" s="8"/>
      <x:c r="C50" s="8"/>
      <x:c r="D50" s="8"/>
      <x:c r="E50" s="8"/>
      <x:c r="F50" s="8"/>
      <x:c r="G50" s="8"/>
      <x:c r="H50" s="8"/>
      <x:c r="I50" s="8"/>
      <x:c r="J50" s="8"/>
      <x:c r="K50" s="8"/>
      <x:c r="L50" s="8"/>
      <x:c r="M50" s="8"/>
    </x:row>
    <x:row r="51">
      <x:c r="A51" s="8"/>
      <x:c r="B51" s="8"/>
      <x:c r="C51" s="8"/>
      <x:c r="D51" s="8"/>
      <x:c r="E51" s="8"/>
      <x:c r="F51" s="8"/>
      <x:c r="G51" s="8"/>
      <x:c r="H51" s="8"/>
      <x:c r="I51" s="8"/>
      <x:c r="J51" s="8"/>
      <x:c r="K51" s="8"/>
      <x:c r="L51" s="8"/>
      <x:c r="M51" s="8"/>
    </x:row>
    <x:row r="52">
      <x:c r="A52" s="8"/>
      <x:c r="B52" s="8"/>
      <x:c r="C52" s="8"/>
      <x:c r="D52" s="8"/>
      <x:c r="E52" s="8"/>
      <x:c r="F52" s="8"/>
      <x:c r="G52" s="8"/>
      <x:c r="H52" s="8"/>
      <x:c r="I52" s="8"/>
      <x:c r="J52" s="8"/>
      <x:c r="K52" s="8"/>
      <x:c r="L52" s="8"/>
      <x:c r="M52" s="8"/>
    </x:row>
    <x:row r="53">
      <x:c r="A53" s="8"/>
      <x:c r="B53" s="8"/>
      <x:c r="C53" s="8"/>
      <x:c r="D53" s="8"/>
      <x:c r="E53" s="8"/>
      <x:c r="F53" s="8"/>
      <x:c r="G53" s="8"/>
      <x:c r="H53" s="8"/>
      <x:c r="I53" s="8"/>
      <x:c r="J53" s="8"/>
      <x:c r="K53" s="8"/>
      <x:c r="L53" s="8"/>
      <x:c r="M53" s="8"/>
    </x:row>
    <x:row r="54">
      <x:c r="A54" s="8"/>
      <x:c r="B54" s="8"/>
      <x:c r="C54" s="8"/>
      <x:c r="D54" s="8"/>
      <x:c r="E54" s="8"/>
      <x:c r="F54" s="8"/>
      <x:c r="G54" s="8"/>
      <x:c r="H54" s="8"/>
      <x:c r="I54" s="8"/>
      <x:c r="J54" s="8"/>
      <x:c r="K54" s="8"/>
      <x:c r="L54" s="8"/>
      <x:c r="M54" s="8"/>
    </x:row>
    <x:row r="55">
      <x:c r="A55" s="8"/>
      <x:c r="B55" s="8"/>
      <x:c r="C55" s="8"/>
      <x:c r="D55" s="8"/>
      <x:c r="E55" s="8"/>
      <x:c r="F55" s="8"/>
      <x:c r="G55" s="8"/>
      <x:c r="H55" s="8"/>
      <x:c r="I55" s="8"/>
      <x:c r="J55" s="8"/>
      <x:c r="K55" s="8"/>
      <x:c r="L55" s="8"/>
      <x:c r="M55" s="8"/>
    </x:row>
    <x:row r="56">
      <x:c r="A56" s="8"/>
      <x:c r="B56" s="8"/>
      <x:c r="C56" s="8"/>
      <x:c r="D56" s="8"/>
      <x:c r="E56" s="8"/>
      <x:c r="F56" s="8"/>
      <x:c r="G56" s="8"/>
      <x:c r="H56" s="8"/>
      <x:c r="I56" s="8"/>
      <x:c r="J56" s="8"/>
      <x:c r="K56" s="8"/>
      <x:c r="L56" s="8"/>
      <x:c r="M56" s="8"/>
    </x:row>
    <x:row r="57">
      <x:c r="A57" s="8"/>
      <x:c r="B57" s="8"/>
      <x:c r="C57" s="8"/>
      <x:c r="D57" s="8"/>
      <x:c r="E57" s="8"/>
      <x:c r="F57" s="8"/>
      <x:c r="G57" s="8"/>
      <x:c r="H57" s="8"/>
      <x:c r="I57" s="8"/>
      <x:c r="J57" s="8"/>
      <x:c r="K57" s="8"/>
      <x:c r="L57" s="8"/>
      <x:c r="M57" s="8"/>
    </x:row>
    <x:row r="58">
      <x:c r="A58" s="8"/>
      <x:c r="B58" s="8"/>
      <x:c r="C58" s="8"/>
      <x:c r="D58" s="8"/>
      <x:c r="E58" s="8"/>
      <x:c r="F58" s="8"/>
      <x:c r="G58" s="8"/>
      <x:c r="H58" s="8"/>
      <x:c r="I58" s="8"/>
      <x:c r="J58" s="8"/>
      <x:c r="K58" s="8"/>
      <x:c r="L58" s="8"/>
      <x:c r="M58" s="8"/>
    </x:row>
    <x:row r="59">
      <x:c r="A59" s="8"/>
      <x:c r="B59" s="8"/>
      <x:c r="C59" s="8"/>
      <x:c r="D59" s="8"/>
      <x:c r="E59" s="8"/>
      <x:c r="F59" s="8"/>
      <x:c r="G59" s="8"/>
      <x:c r="H59" s="8"/>
      <x:c r="I59" s="8"/>
      <x:c r="J59" s="8"/>
      <x:c r="K59" s="8"/>
      <x:c r="L59" s="8"/>
      <x:c r="M59" s="8"/>
    </x:row>
    <x:row r="60">
      <x:c r="A60" s="8"/>
      <x:c r="B60" s="8"/>
      <x:c r="C60" s="8"/>
      <x:c r="D60" s="8"/>
      <x:c r="E60" s="8"/>
      <x:c r="F60" s="8"/>
      <x:c r="G60" s="8"/>
      <x:c r="H60" s="8"/>
      <x:c r="I60" s="8"/>
      <x:c r="J60" s="8"/>
      <x:c r="K60" s="8"/>
      <x:c r="L60" s="8"/>
      <x:c r="M60" s="8"/>
    </x:row>
  </x:sheetData>
  <x:pageMargins left="0.7" right="0.7" top="0.75" bottom="0.75" header="0.3" footer="0.3"/>
  <x:tableParts count="1">
    <x:tablePart xmlns:r="http://schemas.openxmlformats.org/officeDocument/2006/relationships" r:id="Rc8eca58283834b9a"/>
  </x:tableParts>
</x:worksheet>
</file>

<file path=xl/worksheets/sheet3.xml><?xml version="1.0" encoding="utf-8"?>
<x:worksheet xmlns:x="http://schemas.openxmlformats.org/spreadsheetml/2006/main">
  <x:sheetPr>
    <x:tabColor rgb="FFA7B5AE"/>
  </x:sheetPr>
  <x:sheetViews>
    <x:sheetView showGridLines="0" workbookViewId="0">
      <x:pane xSplit="4" ySplit="5" topLeftCell="E6" activePane="bottomRight" state="frozen"/>
    </x:sheetView>
  </x:sheetViews>
  <x:sheetFormatPr defaultRowHeight="15"/>
  <x:cols>
    <x:col min="1" max="1" width="20" hidden="0" customWidth="1"/>
    <x:col min="2" max="2" width="18" hidden="0" customWidth="1"/>
    <x:col min="3" max="3" width="18" hidden="0" customWidth="1"/>
    <x:col min="4" max="4" width="34"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 min="16" max="16" width="10" hidden="0" customWidth="1"/>
    <x:col min="17" max="17" width="10" hidden="0" customWidth="1"/>
    <x:col min="18" max="18" width="22" hidden="0" customWidth="1"/>
    <x:col min="19" max="19" width="48" hidden="0" customWidth="1"/>
  </x:cols>
  <x:sheetData>
    <x:row r="1" ht="9" customHeight="1">
      <x:c r="A1" s="8"/>
      <x:c r="B1" s="8"/>
      <x:c r="C1" s="8"/>
      <x:c r="D1" s="8"/>
      <x:c r="E1" s="8"/>
      <x:c r="F1" s="8"/>
      <x:c r="G1" s="8"/>
      <x:c r="H1" s="8"/>
      <x:c r="I1" s="8"/>
      <x:c r="J1" s="8"/>
      <x:c r="K1" s="8"/>
      <x:c r="L1" s="8"/>
      <x:c r="M1" s="8"/>
      <x:c r="N1" s="8"/>
      <x:c r="O1" s="8"/>
      <x:c r="P1" s="8"/>
      <x:c r="Q1" s="8"/>
      <x:c r="R1" s="8"/>
      <x:c r="S1" s="8"/>
    </x:row>
    <x:row r="2">
      <x:c r="A2" s="5" t="str">
        <x:v>換算元データ</x:v>
      </x:c>
      <x:c r="B2" s="8"/>
      <x:c r="C2" s="8"/>
      <x:c r="D2" s="8"/>
      <x:c r="E2" s="8"/>
      <x:c r="F2" s="8"/>
      <x:c r="G2" s="8"/>
      <x:c r="H2" s="8"/>
      <x:c r="I2" s="8"/>
      <x:c r="J2" s="8"/>
      <x:c r="K2" s="8"/>
      <x:c r="L2" s="8"/>
      <x:c r="M2" s="8"/>
      <x:c r="N2" s="8"/>
      <x:c r="O2" s="8"/>
      <x:c r="P2" s="8"/>
      <x:c r="Q2" s="8"/>
      <x:c r="R2" s="8"/>
      <x:c r="S2" s="8"/>
    </x:row>
    <x:row r="3">
      <x:c r="A3" s="6" t="str">
        <x:v>各CharaStatusファイルの先頭キャラクターだけを収録。召喚獣メモは除外。黄色は暫定値または資料不整合。</x:v>
      </x:c>
      <x:c r="B3" s="6"/>
      <x:c r="C3" s="6"/>
      <x:c r="D3" s="6"/>
      <x:c r="E3" s="6"/>
      <x:c r="F3" s="6"/>
      <x:c r="G3" s="6"/>
      <x:c r="H3" s="6"/>
      <x:c r="I3" s="6"/>
      <x:c r="J3" s="6"/>
      <x:c r="K3" s="6"/>
      <x:c r="L3" s="6"/>
      <x:c r="M3" s="6"/>
      <x:c r="N3" s="6"/>
      <x:c r="O3" s="6"/>
      <x:c r="P3" s="6"/>
      <x:c r="Q3" s="6"/>
      <x:c r="R3" s="6"/>
      <x:c r="S3" s="6"/>
    </x:row>
    <x:row r="4">
      <x:c r="A4" s="9"/>
      <x:c r="B4" s="9"/>
      <x:c r="C4" s="9"/>
      <x:c r="D4" s="9"/>
      <x:c r="E4" s="9"/>
      <x:c r="F4" s="9"/>
      <x:c r="G4" s="9"/>
      <x:c r="H4" s="9"/>
      <x:c r="I4" s="9"/>
      <x:c r="J4" s="9"/>
      <x:c r="K4" s="9"/>
      <x:c r="L4" s="9"/>
      <x:c r="M4" s="9"/>
      <x:c r="N4" s="9"/>
      <x:c r="O4" s="9"/>
      <x:c r="P4" s="9"/>
      <x:c r="Q4" s="9"/>
      <x:c r="R4" s="9"/>
      <x:c r="S4" s="9"/>
    </x:row>
    <x:row r="5" ht="31" customHeight="1">
      <x:c r="A5" s="14" t="str">
        <x:v>ID</x:v>
      </x:c>
      <x:c r="B5" s="14" t="str">
        <x:v>表示名</x:v>
      </x:c>
      <x:c r="C5" s="14" t="str">
        <x:v>時点・状態</x:v>
      </x:c>
      <x:c r="D5" s="14" t="str">
        <x:v>参照ファイル</x:v>
      </x:c>
      <x:c r="E5" s="14" t="str">
        <x:v>Lv</x:v>
      </x:c>
      <x:c r="F5" s="14" t="str">
        <x:v>HP</x:v>
      </x:c>
      <x:c r="G5" s="14" t="str">
        <x:v>MP</x:v>
      </x:c>
      <x:c r="H5" s="14" t="str">
        <x:v>STR</x:v>
      </x:c>
      <x:c r="I5" s="14" t="str">
        <x:v>CON</x:v>
      </x:c>
      <x:c r="J5" s="14" t="str">
        <x:v>DEX</x:v>
      </x:c>
      <x:c r="K5" s="14" t="str">
        <x:v>POW</x:v>
      </x:c>
      <x:c r="L5" s="14" t="str">
        <x:v>APP</x:v>
      </x:c>
      <x:c r="M5" s="14" t="str">
        <x:v>通常SIZ</x:v>
      </x:c>
      <x:c r="N5" s="14" t="str">
        <x:v>戦闘時SIZ</x:v>
      </x:c>
      <x:c r="O5" s="14" t="str">
        <x:v>回避適性</x:v>
      </x:c>
      <x:c r="P5" s="14" t="str">
        <x:v>勇気</x:v>
      </x:c>
      <x:c r="Q5" s="14" t="str">
        <x:v>幸運</x:v>
      </x:c>
      <x:c r="R5" s="14" t="str">
        <x:v>回避適性の根拠</x:v>
      </x:c>
      <x:c r="S5" s="14" t="str">
        <x:v>確認事項</x:v>
      </x:c>
    </x:row>
    <x:row r="6" ht="23" customHeight="1">
      <x:c r="A6" s="28" t="str">
        <x:v>young_arshe</x:v>
      </x:c>
      <x:c r="B6" s="28" t="str">
        <x:v>アルシェ</x:v>
      </x:c>
      <x:c r="C6" s="28" t="str">
        <x:v>幼少期</x:v>
      </x:c>
      <x:c r="D6" s="34" t="str">
        <x:v>CharaStatus/幼アルシェ.txt</x:v>
      </x:c>
      <x:c r="E6" s="35" t="n">
        <x:v>1</x:v>
      </x:c>
      <x:c r="F6" s="35" t="n">
        <x:v>13</x:v>
      </x:c>
      <x:c r="G6" s="35" t="n">
        <x:v>18</x:v>
      </x:c>
      <x:c r="H6" s="35" t="n">
        <x:v>14</x:v>
      </x:c>
      <x:c r="I6" s="35" t="n">
        <x:v>13</x:v>
      </x:c>
      <x:c r="J6" s="35" t="n">
        <x:v>18</x:v>
      </x:c>
      <x:c r="K6" s="35" t="n">
        <x:v>18</x:v>
      </x:c>
      <x:c r="L6" s="35" t="n">
        <x:v>15</x:v>
      </x:c>
      <x:c r="M6" s="35" t="n">
        <x:v>13</x:v>
      </x:c>
      <x:c r="N6" s="35" t="n">
        <x:v>13</x:v>
      </x:c>
      <x:c r="O6" s="35" t="n">
        <x:v>6</x:v>
      </x:c>
      <x:c r="P6" s="35" t="n">
        <x:v>90</x:v>
      </x:c>
      <x:c r="Q6" s="35" t="n">
        <x:v>90</x:v>
      </x:c>
      <x:c r="R6" s="36" t="str">
        <x:v>characters.js暫定値</x:v>
      </x:c>
      <x:c r="S6" s="36" t="str">
        <x:v>原資料に回避技能なし。回避適性6は現行ゲームの暫定値</x:v>
      </x:c>
    </x:row>
    <x:row r="7" ht="23" customHeight="1">
      <x:c r="A7" s="17" t="str">
        <x:v>arshe</x:v>
      </x:c>
      <x:c r="B7" s="17" t="str">
        <x:v>アルシェ</x:v>
      </x:c>
      <x:c r="C7" s="17" t="str">
        <x:v>成長後</x:v>
      </x:c>
      <x:c r="D7" s="33" t="str">
        <x:v>CharaStatus/アルシェn.txt</x:v>
      </x:c>
      <x:c r="E7" s="19" t="n">
        <x:v>4</x:v>
      </x:c>
      <x:c r="F7" s="19" t="n">
        <x:v>22</x:v>
      </x:c>
      <x:c r="G7" s="19" t="n">
        <x:v>26</x:v>
      </x:c>
      <x:c r="H7" s="19" t="n">
        <x:v>22</x:v>
      </x:c>
      <x:c r="I7" s="19" t="n">
        <x:v>20</x:v>
      </x:c>
      <x:c r="J7" s="19" t="n">
        <x:v>23</x:v>
      </x:c>
      <x:c r="K7" s="19" t="n">
        <x:v>26</x:v>
      </x:c>
      <x:c r="L7" s="19" t="n">
        <x:v>15</x:v>
      </x:c>
      <x:c r="M7" s="19" t="n">
        <x:v>13</x:v>
      </x:c>
      <x:c r="N7" s="19" t="n">
        <x:v>13</x:v>
      </x:c>
      <x:c r="O7" s="19" t="n">
        <x:v>7</x:v>
      </x:c>
      <x:c r="P7" s="19" t="n">
        <x:v>90</x:v>
      </x:c>
      <x:c r="Q7" s="19" t="n">
        <x:v>90</x:v>
      </x:c>
      <x:c r="R7" s="23" t="str">
        <x:v>TRPG回避7</x:v>
      </x:c>
      <x:c r="S7" s="23" t="str">
        <x:v>比較用の成長後資料</x:v>
      </x:c>
    </x:row>
    <x:row r="8" ht="23" customHeight="1">
      <x:c r="A8" s="17" t="str">
        <x:v>ringholm</x:v>
      </x:c>
      <x:c r="B8" s="17" t="str">
        <x:v>リングホルム</x:v>
      </x:c>
      <x:c r="C8" s="17" t="str">
        <x:v>Lv5資料</x:v>
      </x:c>
      <x:c r="D8" s="33" t="str">
        <x:v>CharaStatus/リングホルムn.txt</x:v>
      </x:c>
      <x:c r="E8" s="19" t="n">
        <x:v>5</x:v>
      </x:c>
      <x:c r="F8" s="19" t="n">
        <x:v>23</x:v>
      </x:c>
      <x:c r="G8" s="19" t="n">
        <x:v>28</x:v>
      </x:c>
      <x:c r="H8" s="19" t="n">
        <x:v>26</x:v>
      </x:c>
      <x:c r="I8" s="19" t="n">
        <x:v>23</x:v>
      </x:c>
      <x:c r="J8" s="19" t="n">
        <x:v>22</x:v>
      </x:c>
      <x:c r="K8" s="19" t="n">
        <x:v>28</x:v>
      </x:c>
      <x:c r="L8" s="19" t="n">
        <x:v>16</x:v>
      </x:c>
      <x:c r="M8" s="19" t="n">
        <x:v>10</x:v>
      </x:c>
      <x:c r="N8" s="19" t="n">
        <x:v>10</x:v>
      </x:c>
      <x:c r="O8" s="19" t="n">
        <x:v>9</x:v>
      </x:c>
      <x:c r="P8" s="19" t="n">
        <x:v>90</x:v>
      </x:c>
      <x:c r="Q8" s="19" t="n">
        <x:v>35</x:v>
      </x:c>
      <x:c r="R8" s="23" t="str">
        <x:v>TRPG回避9</x:v>
      </x:c>
      <x:c r="S8" s="23" t="str">
        <x:v>表ルートの完成済み強者として換算</x:v>
      </x:c>
    </x:row>
    <x:row r="9" ht="23" customHeight="1">
      <x:c r="A9" s="17" t="str">
        <x:v>albas</x:v>
      </x:c>
      <x:c r="B9" s="17" t="str">
        <x:v>アルバス</x:v>
      </x:c>
      <x:c r="C9" s="17" t="str">
        <x:v>Lv5資料</x:v>
      </x:c>
      <x:c r="D9" s="33" t="str">
        <x:v>CharaStatus/アルバスn.txt</x:v>
      </x:c>
      <x:c r="E9" s="19" t="n">
        <x:v>5</x:v>
      </x:c>
      <x:c r="F9" s="19" t="n">
        <x:v>28</x:v>
      </x:c>
      <x:c r="G9" s="19" t="n">
        <x:v>36</x:v>
      </x:c>
      <x:c r="H9" s="19" t="n">
        <x:v>18</x:v>
      </x:c>
      <x:c r="I9" s="19" t="n">
        <x:v>29</x:v>
      </x:c>
      <x:c r="J9" s="19" t="n">
        <x:v>36</x:v>
      </x:c>
      <x:c r="K9" s="19" t="n">
        <x:v>36</x:v>
      </x:c>
      <x:c r="L9" s="19" t="n">
        <x:v>17</x:v>
      </x:c>
      <x:c r="M9" s="19" t="n">
        <x:v>15</x:v>
      </x:c>
      <x:c r="N9" s="19" t="n">
        <x:v>15</x:v>
      </x:c>
      <x:c r="O9" s="19" t="n">
        <x:v>0</x:v>
      </x:c>
      <x:c r="P9" s="19" t="n">
        <x:v>65</x:v>
      </x:c>
      <x:c r="Q9" s="19" t="n">
        <x:v>65</x:v>
      </x:c>
      <x:c r="R9" s="23" t="str">
        <x:v>回避技能なし</x:v>
      </x:c>
      <x:c r="S9" s="23" t="str">
        <x:v>回避適性0。高魔攻・高魔防だが回避型にはしない</x:v>
      </x:c>
    </x:row>
    <x:row r="10" ht="23" customHeight="1">
      <x:c r="A10" s="29" t="str">
        <x:v>young_karima</x:v>
      </x:c>
      <x:c r="B10" s="29" t="str">
        <x:v>カリマ</x:v>
      </x:c>
      <x:c r="C10" s="29" t="str">
        <x:v>幼少期</x:v>
      </x:c>
      <x:c r="D10" s="37" t="str">
        <x:v>CharaStatus/幼カリマ.txt</x:v>
      </x:c>
      <x:c r="E10" s="38" t="n">
        <x:v>1</x:v>
      </x:c>
      <x:c r="F10" s="38" t="n">
        <x:v>12</x:v>
      </x:c>
      <x:c r="G10" s="38" t="n">
        <x:v>18</x:v>
      </x:c>
      <x:c r="H10" s="38" t="n">
        <x:v>14</x:v>
      </x:c>
      <x:c r="I10" s="38" t="n">
        <x:v>12</x:v>
      </x:c>
      <x:c r="J10" s="38" t="n">
        <x:v>18</x:v>
      </x:c>
      <x:c r="K10" s="38" t="n">
        <x:v>18</x:v>
      </x:c>
      <x:c r="L10" s="38" t="n">
        <x:v>15</x:v>
      </x:c>
      <x:c r="M10" s="38" t="n">
        <x:v>13</x:v>
      </x:c>
      <x:c r="N10" s="38" t="n">
        <x:v>13</x:v>
      </x:c>
      <x:c r="O10" s="38" t="n">
        <x:v>6</x:v>
      </x:c>
      <x:c r="P10" s="38" t="n">
        <x:v>90</x:v>
      </x:c>
      <x:c r="Q10" s="38" t="n">
        <x:v>90</x:v>
      </x:c>
      <x:c r="R10" s="39" t="str">
        <x:v>characters.js暫定値</x:v>
      </x:c>
      <x:c r="S10" s="39" t="str">
        <x:v>原資料に回避技能なし。回避適性6は現行ゲームの暫定値</x:v>
      </x:c>
    </x:row>
    <x:row r="11" ht="23" customHeight="1">
      <x:c r="A11" s="17" t="str">
        <x:v>karima</x:v>
      </x:c>
      <x:c r="B11" s="17" t="str">
        <x:v>カリマ</x:v>
      </x:c>
      <x:c r="C11" s="17" t="str">
        <x:v>成長後</x:v>
      </x:c>
      <x:c r="D11" s="33" t="str">
        <x:v>CharaStatus/カリマn.txt</x:v>
      </x:c>
      <x:c r="E11" s="19" t="n">
        <x:v>4</x:v>
      </x:c>
      <x:c r="F11" s="19" t="n">
        <x:v>21</x:v>
      </x:c>
      <x:c r="G11" s="19" t="n">
        <x:v>27</x:v>
      </x:c>
      <x:c r="H11" s="19" t="n">
        <x:v>21</x:v>
      </x:c>
      <x:c r="I11" s="19" t="n">
        <x:v>20</x:v>
      </x:c>
      <x:c r="J11" s="19" t="n">
        <x:v>27</x:v>
      </x:c>
      <x:c r="K11" s="19" t="n">
        <x:v>27</x:v>
      </x:c>
      <x:c r="L11" s="19" t="n">
        <x:v>15</x:v>
      </x:c>
      <x:c r="M11" s="19" t="n">
        <x:v>13</x:v>
      </x:c>
      <x:c r="N11" s="19" t="n">
        <x:v>13</x:v>
      </x:c>
      <x:c r="O11" s="19" t="n">
        <x:v>7</x:v>
      </x:c>
      <x:c r="P11" s="19" t="n">
        <x:v>90</x:v>
      </x:c>
      <x:c r="Q11" s="19" t="n">
        <x:v>90</x:v>
      </x:c>
      <x:c r="R11" s="23" t="str">
        <x:v>TRPG回避7</x:v>
      </x:c>
      <x:c r="S11" s="23" t="str">
        <x:v>比較用の成長後資料</x:v>
      </x:c>
    </x:row>
    <x:row r="12" ht="23" customHeight="1">
      <x:c r="A12" s="17" t="str">
        <x:v>dylan</x:v>
      </x:c>
      <x:c r="B12" s="17" t="str">
        <x:v>ディラン</x:v>
      </x:c>
      <x:c r="C12" s="17" t="str">
        <x:v>竜人戦闘時</x:v>
      </x:c>
      <x:c r="D12" s="33" t="str">
        <x:v>CharaStatus/ディランn.txt</x:v>
      </x:c>
      <x:c r="E12" s="19" t="n">
        <x:v>4</x:v>
      </x:c>
      <x:c r="F12" s="19" t="n">
        <x:v>31</x:v>
      </x:c>
      <x:c r="G12" s="19" t="n">
        <x:v>24</x:v>
      </x:c>
      <x:c r="H12" s="19" t="n">
        <x:v>33</x:v>
      </x:c>
      <x:c r="I12" s="19" t="n">
        <x:v>26</x:v>
      </x:c>
      <x:c r="J12" s="19" t="n">
        <x:v>26</x:v>
      </x:c>
      <x:c r="K12" s="19" t="n">
        <x:v>17</x:v>
      </x:c>
      <x:c r="L12" s="19" t="n">
        <x:v>10</x:v>
      </x:c>
      <x:c r="M12" s="19" t="n">
        <x:v>15</x:v>
      </x:c>
      <x:c r="N12" s="19" t="n">
        <x:v>25</x:v>
      </x:c>
      <x:c r="O12" s="19" t="n">
        <x:v>7</x:v>
      </x:c>
      <x:c r="P12" s="19" t="n">
        <x:v>60</x:v>
      </x:c>
      <x:c r="Q12" s="19" t="n">
        <x:v>25</x:v>
      </x:c>
      <x:c r="R12" s="23" t="str">
        <x:v>TRPG回避7</x:v>
      </x:c>
      <x:c r="S12" s="23" t="str">
        <x:v>SIZ増加後を標準戦闘状態として使用。通常HP26・SIZ15</x:v>
      </x:c>
    </x:row>
    <x:row r="13" ht="23" customHeight="1">
      <x:c r="A13" s="17" t="str">
        <x:v>baldo</x:v>
      </x:c>
      <x:c r="B13" s="17" t="str">
        <x:v>バルド</x:v>
      </x:c>
      <x:c r="C13" s="17" t="str">
        <x:v>竜人戦闘時</x:v>
      </x:c>
      <x:c r="D13" s="33" t="str">
        <x:v>CharaStatus/バルドn.txt</x:v>
      </x:c>
      <x:c r="E13" s="19" t="n">
        <x:v>4</x:v>
      </x:c>
      <x:c r="F13" s="19" t="n">
        <x:v>32</x:v>
      </x:c>
      <x:c r="G13" s="19" t="n">
        <x:v>25</x:v>
      </x:c>
      <x:c r="H13" s="19" t="n">
        <x:v>28</x:v>
      </x:c>
      <x:c r="I13" s="19" t="n">
        <x:v>23</x:v>
      </x:c>
      <x:c r="J13" s="19" t="n">
        <x:v>25</x:v>
      </x:c>
      <x:c r="K13" s="19" t="n">
        <x:v>25</x:v>
      </x:c>
      <x:c r="L13" s="19" t="n">
        <x:v>11</x:v>
      </x:c>
      <x:c r="M13" s="19" t="n">
        <x:v>14</x:v>
      </x:c>
      <x:c r="N13" s="19" t="n">
        <x:v>23</x:v>
      </x:c>
      <x:c r="O13" s="19" t="n">
        <x:v>5</x:v>
      </x:c>
      <x:c r="P13" s="19" t="n">
        <x:v>75</x:v>
      </x:c>
      <x:c r="Q13" s="19" t="n">
        <x:v>60</x:v>
      </x:c>
      <x:c r="R13" s="23" t="str">
        <x:v>TRPG回避5</x:v>
      </x:c>
      <x:c r="S13" s="23" t="str">
        <x:v>SIZ増加後を標準戦闘状態として使用。通常HP28・SIZ14</x:v>
      </x:c>
    </x:row>
    <x:row r="14" ht="23" customHeight="1">
      <x:c r="A14" s="17" t="str">
        <x:v>ivan</x:v>
      </x:c>
      <x:c r="B14" s="17" t="str">
        <x:v>イヴァン</x:v>
      </x:c>
      <x:c r="C14" s="17" t="str">
        <x:v>Lv4資料</x:v>
      </x:c>
      <x:c r="D14" s="33" t="str">
        <x:v>CharaStatus/イヴァンn.txt</x:v>
      </x:c>
      <x:c r="E14" s="19" t="n">
        <x:v>4</x:v>
      </x:c>
      <x:c r="F14" s="19" t="n">
        <x:v>21</x:v>
      </x:c>
      <x:c r="G14" s="19" t="n">
        <x:v>29</x:v>
      </x:c>
      <x:c r="H14" s="19" t="n">
        <x:v>17</x:v>
      </x:c>
      <x:c r="I14" s="19" t="n">
        <x:v>18</x:v>
      </x:c>
      <x:c r="J14" s="19" t="n">
        <x:v>23</x:v>
      </x:c>
      <x:c r="K14" s="19" t="n">
        <x:v>29</x:v>
      </x:c>
      <x:c r="L14" s="19" t="n">
        <x:v>20</x:v>
      </x:c>
      <x:c r="M14" s="19" t="n">
        <x:v>15</x:v>
      </x:c>
      <x:c r="N14" s="19" t="n">
        <x:v>15</x:v>
      </x:c>
      <x:c r="O14" s="19" t="n">
        <x:v>7</x:v>
      </x:c>
      <x:c r="P14" s="19" t="n">
        <x:v>70</x:v>
      </x:c>
      <x:c r="Q14" s="19" t="n">
        <x:v>30</x:v>
      </x:c>
      <x:c r="R14" s="23" t="str">
        <x:v>TRPG回避7</x:v>
      </x:c>
      <x:c r="S14" s="23" t="str"/>
    </x:row>
    <x:row r="15" ht="23" customHeight="1">
      <x:c r="A15" s="17" t="str">
        <x:v>egyun</x:v>
      </x:c>
      <x:c r="B15" s="17" t="str">
        <x:v>ユエル（エギュン）</x:v>
      </x:c>
      <x:c r="C15" s="17" t="str">
        <x:v>Lv3資料</x:v>
      </x:c>
      <x:c r="D15" s="33" t="str">
        <x:v>CharaStatus/エギュンn.txt</x:v>
      </x:c>
      <x:c r="E15" s="19" t="n">
        <x:v>3</x:v>
      </x:c>
      <x:c r="F15" s="19" t="n">
        <x:v>15</x:v>
      </x:c>
      <x:c r="G15" s="19" t="n">
        <x:v>22</x:v>
      </x:c>
      <x:c r="H15" s="19" t="n">
        <x:v>18</x:v>
      </x:c>
      <x:c r="I15" s="19" t="n">
        <x:v>16</x:v>
      </x:c>
      <x:c r="J15" s="19" t="n">
        <x:v>20</x:v>
      </x:c>
      <x:c r="K15" s="19" t="n">
        <x:v>22</x:v>
      </x:c>
      <x:c r="L15" s="19" t="n">
        <x:v>14</x:v>
      </x:c>
      <x:c r="M15" s="19" t="n">
        <x:v>8</x:v>
      </x:c>
      <x:c r="N15" s="19" t="n">
        <x:v>8</x:v>
      </x:c>
      <x:c r="O15" s="19" t="n">
        <x:v>7</x:v>
      </x:c>
      <x:c r="P15" s="19" t="n">
        <x:v>80</x:v>
      </x:c>
      <x:c r="Q15" s="19" t="n">
        <x:v>80</x:v>
      </x:c>
      <x:c r="R15" s="23" t="str">
        <x:v>TRPG回避7</x:v>
      </x:c>
      <x:c r="S15" s="23" t="str"/>
    </x:row>
    <x:row r="16" ht="23" customHeight="1">
      <x:c r="A16" s="17" t="str">
        <x:v>karla</x:v>
      </x:c>
      <x:c r="B16" s="17" t="str">
        <x:v>カルラ</x:v>
      </x:c>
      <x:c r="C16" s="17" t="str">
        <x:v>通常・Lv1</x:v>
      </x:c>
      <x:c r="D16" s="33" t="str">
        <x:v>CharaStatus/カルラn.txt</x:v>
      </x:c>
      <x:c r="E16" s="19" t="n">
        <x:v>1</x:v>
      </x:c>
      <x:c r="F16" s="19" t="n">
        <x:v>12</x:v>
      </x:c>
      <x:c r="G16" s="19" t="n">
        <x:v>19</x:v>
      </x:c>
      <x:c r="H16" s="19" t="n">
        <x:v>8</x:v>
      </x:c>
      <x:c r="I16" s="19" t="n">
        <x:v>12</x:v>
      </x:c>
      <x:c r="J16" s="19" t="n">
        <x:v>14</x:v>
      </x:c>
      <x:c r="K16" s="19" t="n">
        <x:v>19</x:v>
      </x:c>
      <x:c r="L16" s="19" t="n">
        <x:v>20</x:v>
      </x:c>
      <x:c r="M16" s="19" t="n">
        <x:v>12</x:v>
      </x:c>
      <x:c r="N16" s="19" t="n">
        <x:v>12</x:v>
      </x:c>
      <x:c r="O16" s="19" t="n">
        <x:v>5</x:v>
      </x:c>
      <x:c r="P16" s="19" t="n">
        <x:v>70</x:v>
      </x:c>
      <x:c r="Q16" s="19" t="n">
        <x:v>45</x:v>
      </x:c>
      <x:c r="R16" s="23" t="str">
        <x:v>TRPG回避5</x:v>
      </x:c>
      <x:c r="S16" s="23" t="str">
        <x:v>資料上の名称はカルラ（通常）</x:v>
      </x:c>
    </x:row>
    <x:row r="17" ht="23" customHeight="1">
      <x:c r="A17" s="17" t="str">
        <x:v>gunter</x:v>
      </x:c>
      <x:c r="B17" s="17" t="str">
        <x:v>ギュンター</x:v>
      </x:c>
      <x:c r="C17" s="17" t="str">
        <x:v>Lv4資料</x:v>
      </x:c>
      <x:c r="D17" s="33" t="str">
        <x:v>CharaStatus/ギュンターn.txt</x:v>
      </x:c>
      <x:c r="E17" s="19" t="n">
        <x:v>4</x:v>
      </x:c>
      <x:c r="F17" s="19" t="n">
        <x:v>24</x:v>
      </x:c>
      <x:c r="G17" s="19" t="n">
        <x:v>27</x:v>
      </x:c>
      <x:c r="H17" s="19" t="n">
        <x:v>30</x:v>
      </x:c>
      <x:c r="I17" s="19" t="n">
        <x:v>27</x:v>
      </x:c>
      <x:c r="J17" s="19" t="n">
        <x:v>30</x:v>
      </x:c>
      <x:c r="K17" s="19" t="n">
        <x:v>27</x:v>
      </x:c>
      <x:c r="L17" s="19" t="n">
        <x:v>14</x:v>
      </x:c>
      <x:c r="M17" s="19" t="n">
        <x:v>15</x:v>
      </x:c>
      <x:c r="N17" s="19" t="n">
        <x:v>15</x:v>
      </x:c>
      <x:c r="O17" s="19" t="n">
        <x:v>8</x:v>
      </x:c>
      <x:c r="P17" s="19" t="n">
        <x:v>75</x:v>
      </x:c>
      <x:c r="Q17" s="19" t="n">
        <x:v>65</x:v>
      </x:c>
      <x:c r="R17" s="23" t="str">
        <x:v>TRPG回避8</x:v>
      </x:c>
      <x:c r="S17" s="23" t="str">
        <x:v>召喚獣メモは一覧対象外</x:v>
      </x:c>
    </x:row>
    <x:row r="18" ht="23" customHeight="1">
      <x:c r="A18" s="29" t="str">
        <x:v>bell_file_gunter</x:v>
      </x:c>
      <x:c r="B18" s="29" t="str">
        <x:v>ギュンター？</x:v>
      </x:c>
      <x:c r="C18" s="29" t="str">
        <x:v>Lv2資料・要確認</x:v>
      </x:c>
      <x:c r="D18" s="37" t="str">
        <x:v>CharaStatus/ベルn.txt</x:v>
      </x:c>
      <x:c r="E18" s="38" t="n">
        <x:v>2</x:v>
      </x:c>
      <x:c r="F18" s="38" t="n">
        <x:v>19</x:v>
      </x:c>
      <x:c r="G18" s="38" t="n">
        <x:v>22</x:v>
      </x:c>
      <x:c r="H18" s="38" t="n">
        <x:v>24</x:v>
      </x:c>
      <x:c r="I18" s="38" t="n">
        <x:v>22</x:v>
      </x:c>
      <x:c r="J18" s="38" t="n">
        <x:v>25</x:v>
      </x:c>
      <x:c r="K18" s="38" t="n">
        <x:v>22</x:v>
      </x:c>
      <x:c r="L18" s="38" t="n">
        <x:v>14</x:v>
      </x:c>
      <x:c r="M18" s="38" t="n">
        <x:v>4</x:v>
      </x:c>
      <x:c r="N18" s="38" t="n">
        <x:v>4</x:v>
      </x:c>
      <x:c r="O18" s="38" t="n">
        <x:v>7</x:v>
      </x:c>
      <x:c r="P18" s="38" t="n">
        <x:v>55</x:v>
      </x:c>
      <x:c r="Q18" s="38" t="n">
        <x:v>65</x:v>
      </x:c>
      <x:c r="R18" s="39" t="str">
        <x:v>TRPG回避7</x:v>
      </x:c>
      <x:c r="S18" s="39" t="str">
        <x:v>ファイル名はベル、本文Nameはギュンター。勇気はステ欄55、コピペ欄75で不一致</x:v>
      </x:c>
    </x:row>
    <x:row r="19" ht="23" customHeight="1">
      <x:c r="A19" s="17" t="str">
        <x:v>jack</x:v>
      </x:c>
      <x:c r="B19" s="17" t="str">
        <x:v>ジャック</x:v>
      </x:c>
      <x:c r="C19" s="17" t="str">
        <x:v>Lv4資料</x:v>
      </x:c>
      <x:c r="D19" s="33" t="str">
        <x:v>CharaStatus/ジャックn.txt</x:v>
      </x:c>
      <x:c r="E19" s="19" t="n">
        <x:v>4</x:v>
      </x:c>
      <x:c r="F19" s="19" t="n">
        <x:v>21</x:v>
      </x:c>
      <x:c r="G19" s="19" t="n">
        <x:v>24</x:v>
      </x:c>
      <x:c r="H19" s="19" t="n">
        <x:v>25</x:v>
      </x:c>
      <x:c r="I19" s="19" t="n">
        <x:v>23</x:v>
      </x:c>
      <x:c r="J19" s="19" t="n">
        <x:v>22</x:v>
      </x:c>
      <x:c r="K19" s="19" t="n">
        <x:v>24</x:v>
      </x:c>
      <x:c r="L19" s="19" t="n">
        <x:v>13</x:v>
      </x:c>
      <x:c r="M19" s="19" t="n">
        <x:v>14</x:v>
      </x:c>
      <x:c r="N19" s="19" t="n">
        <x:v>14</x:v>
      </x:c>
      <x:c r="O19" s="19" t="n">
        <x:v>7</x:v>
      </x:c>
      <x:c r="P19" s="19" t="n">
        <x:v>65</x:v>
      </x:c>
      <x:c r="Q19" s="19" t="n">
        <x:v>60</x:v>
      </x:c>
      <x:c r="R19" s="23" t="str">
        <x:v>TRPG回避7</x:v>
      </x:c>
      <x:c r="S19" s="23" t="str"/>
    </x:row>
    <x:row r="20" ht="23" customHeight="1">
      <x:c r="A20" s="17" t="str">
        <x:v>philo</x:v>
      </x:c>
      <x:c r="B20" s="17" t="str">
        <x:v>フィロ</x:v>
      </x:c>
      <x:c r="C20" s="17" t="str">
        <x:v>Lv4資料</x:v>
      </x:c>
      <x:c r="D20" s="33" t="str">
        <x:v>CharaStatus/フィロ.txt</x:v>
      </x:c>
      <x:c r="E20" s="19" t="n">
        <x:v>4</x:v>
      </x:c>
      <x:c r="F20" s="19" t="n">
        <x:v>16</x:v>
      </x:c>
      <x:c r="G20" s="19" t="n">
        <x:v>17</x:v>
      </x:c>
      <x:c r="H20" s="19" t="n">
        <x:v>21</x:v>
      </x:c>
      <x:c r="I20" s="19" t="n">
        <x:v>17</x:v>
      </x:c>
      <x:c r="J20" s="19" t="n">
        <x:v>16</x:v>
      </x:c>
      <x:c r="K20" s="19" t="n">
        <x:v>17</x:v>
      </x:c>
      <x:c r="L20" s="19" t="n">
        <x:v>14</x:v>
      </x:c>
      <x:c r="M20" s="19" t="n">
        <x:v>14</x:v>
      </x:c>
      <x:c r="N20" s="19" t="n">
        <x:v>14</x:v>
      </x:c>
      <x:c r="O20" s="19" t="n">
        <x:v>6</x:v>
      </x:c>
      <x:c r="P20" s="19" t="n">
        <x:v>60</x:v>
      </x:c>
      <x:c r="Q20" s="19" t="n">
        <x:v>55</x:v>
      </x:c>
      <x:c r="R20" s="23" t="str">
        <x:v>TRPG回避6</x:v>
      </x:c>
      <x:c r="S20" s="23" t="str"/>
    </x:row>
    <x:row r="21" ht="23" customHeight="1">
      <x:c r="A21" s="17" t="str">
        <x:v>herel</x:v>
      </x:c>
      <x:c r="B21" s="17" t="str">
        <x:v>ヘレル</x:v>
      </x:c>
      <x:c r="C21" s="17" t="str">
        <x:v>Lv4資料</x:v>
      </x:c>
      <x:c r="D21" s="33" t="str">
        <x:v>CharaStatus/ヘレルn (2).txt</x:v>
      </x:c>
      <x:c r="E21" s="19" t="n">
        <x:v>4</x:v>
      </x:c>
      <x:c r="F21" s="19" t="n">
        <x:v>18</x:v>
      </x:c>
      <x:c r="G21" s="19" t="n">
        <x:v>23</x:v>
      </x:c>
      <x:c r="H21" s="19" t="n">
        <x:v>18</x:v>
      </x:c>
      <x:c r="I21" s="19" t="n">
        <x:v>20</x:v>
      </x:c>
      <x:c r="J21" s="19" t="n">
        <x:v>21</x:v>
      </x:c>
      <x:c r="K21" s="19" t="n">
        <x:v>23</x:v>
      </x:c>
      <x:c r="L21" s="19" t="n">
        <x:v>13</x:v>
      </x:c>
      <x:c r="M21" s="19" t="n">
        <x:v>13</x:v>
      </x:c>
      <x:c r="N21" s="19" t="n">
        <x:v>13</x:v>
      </x:c>
      <x:c r="O21" s="19" t="n">
        <x:v>6</x:v>
      </x:c>
      <x:c r="P21" s="19" t="n">
        <x:v>70</x:v>
      </x:c>
      <x:c r="Q21" s="19" t="n">
        <x:v>90</x:v>
      </x:c>
      <x:c r="R21" s="23" t="str">
        <x:v>TRPG回避6</x:v>
      </x:c>
      <x:c r="S21" s="23" t="str"/>
    </x:row>
    <x:row r="22" ht="23" customHeight="1">
      <x:c r="A22" s="17" t="str">
        <x:v>roy</x:v>
      </x:c>
      <x:c r="B22" s="17" t="str">
        <x:v>ロイ</x:v>
      </x:c>
      <x:c r="C22" s="17" t="str">
        <x:v>Lv3資料</x:v>
      </x:c>
      <x:c r="D22" s="33" t="str">
        <x:v>CharaStatus/ロイｎ.txt</x:v>
      </x:c>
      <x:c r="E22" s="19" t="n">
        <x:v>3</x:v>
      </x:c>
      <x:c r="F22" s="19" t="n">
        <x:v>19</x:v>
      </x:c>
      <x:c r="G22" s="19" t="n">
        <x:v>16</x:v>
      </x:c>
      <x:c r="H22" s="19" t="n">
        <x:v>15</x:v>
      </x:c>
      <x:c r="I22" s="19" t="n">
        <x:v>26</x:v>
      </x:c>
      <x:c r="J22" s="19" t="n">
        <x:v>17</x:v>
      </x:c>
      <x:c r="K22" s="19" t="n">
        <x:v>16</x:v>
      </x:c>
      <x:c r="L22" s="19" t="n">
        <x:v>13</x:v>
      </x:c>
      <x:c r="M22" s="19" t="n">
        <x:v>11</x:v>
      </x:c>
      <x:c r="N22" s="19" t="n">
        <x:v>11</x:v>
      </x:c>
      <x:c r="O22" s="19" t="n">
        <x:v>6</x:v>
      </x:c>
      <x:c r="P22" s="19" t="n">
        <x:v>45</x:v>
      </x:c>
      <x:c r="Q22" s="19" t="n">
        <x:v>55</x:v>
      </x:c>
      <x:c r="R22" s="23" t="str">
        <x:v>TRPG回避6</x:v>
      </x:c>
      <x:c r="S22" s="23" t="str"/>
    </x:row>
    <x:row r="23">
      <x:c r="A23" s="8"/>
      <x:c r="B23" s="8"/>
      <x:c r="C23" s="8"/>
      <x:c r="D23" s="8"/>
      <x:c r="E23" s="8"/>
      <x:c r="F23" s="8"/>
      <x:c r="G23" s="8"/>
      <x:c r="H23" s="8"/>
      <x:c r="I23" s="8"/>
      <x:c r="J23" s="8"/>
      <x:c r="K23" s="8"/>
      <x:c r="L23" s="8"/>
      <x:c r="M23" s="8"/>
      <x:c r="N23" s="8"/>
      <x:c r="O23" s="8"/>
      <x:c r="P23" s="8"/>
      <x:c r="Q23" s="8"/>
      <x:c r="R23" s="8"/>
      <x:c r="S23" s="8"/>
    </x:row>
    <x:row r="24">
      <x:c r="A24" s="8"/>
      <x:c r="B24" s="8"/>
      <x:c r="C24" s="8"/>
      <x:c r="D24" s="8"/>
      <x:c r="E24" s="8"/>
      <x:c r="F24" s="8"/>
      <x:c r="G24" s="8"/>
      <x:c r="H24" s="8"/>
      <x:c r="I24" s="8"/>
      <x:c r="J24" s="8"/>
      <x:c r="K24" s="8"/>
      <x:c r="L24" s="8"/>
      <x:c r="M24" s="8"/>
      <x:c r="N24" s="8"/>
      <x:c r="O24" s="8"/>
      <x:c r="P24" s="8"/>
      <x:c r="Q24" s="8"/>
      <x:c r="R24" s="8"/>
      <x:c r="S24" s="8"/>
    </x:row>
    <x:row r="25">
      <x:c r="A25" s="8"/>
      <x:c r="B25" s="8"/>
      <x:c r="C25" s="8"/>
      <x:c r="D25" s="8"/>
      <x:c r="E25" s="8"/>
      <x:c r="F25" s="8"/>
      <x:c r="G25" s="8"/>
      <x:c r="H25" s="8"/>
      <x:c r="I25" s="8"/>
      <x:c r="J25" s="8"/>
      <x:c r="K25" s="8"/>
      <x:c r="L25" s="8"/>
      <x:c r="M25" s="8"/>
      <x:c r="N25" s="8"/>
      <x:c r="O25" s="8"/>
      <x:c r="P25" s="8"/>
      <x:c r="Q25" s="8"/>
      <x:c r="R25" s="8"/>
      <x:c r="S25" s="8"/>
    </x:row>
    <x:row r="26">
      <x:c r="A26" s="8"/>
      <x:c r="B26" s="8"/>
      <x:c r="C26" s="8"/>
      <x:c r="D26" s="8"/>
      <x:c r="E26" s="8"/>
      <x:c r="F26" s="8"/>
      <x:c r="G26" s="8"/>
      <x:c r="H26" s="8"/>
      <x:c r="I26" s="8"/>
      <x:c r="J26" s="8"/>
      <x:c r="K26" s="8"/>
      <x:c r="L26" s="8"/>
      <x:c r="M26" s="8"/>
      <x:c r="N26" s="8"/>
      <x:c r="O26" s="8"/>
      <x:c r="P26" s="8"/>
      <x:c r="Q26" s="8"/>
      <x:c r="R26" s="8"/>
      <x:c r="S26" s="8"/>
    </x:row>
    <x:row r="27">
      <x:c r="A27" s="8"/>
      <x:c r="B27" s="8"/>
      <x:c r="C27" s="8"/>
      <x:c r="D27" s="8"/>
      <x:c r="E27" s="8"/>
      <x:c r="F27" s="8"/>
      <x:c r="G27" s="8"/>
      <x:c r="H27" s="8"/>
      <x:c r="I27" s="8"/>
      <x:c r="J27" s="8"/>
      <x:c r="K27" s="8"/>
      <x:c r="L27" s="8"/>
      <x:c r="M27" s="8"/>
      <x:c r="N27" s="8"/>
      <x:c r="O27" s="8"/>
      <x:c r="P27" s="8"/>
      <x:c r="Q27" s="8"/>
      <x:c r="R27" s="8"/>
      <x:c r="S27" s="8"/>
    </x:row>
    <x:row r="28">
      <x:c r="A28" s="8"/>
      <x:c r="B28" s="8"/>
      <x:c r="C28" s="8"/>
      <x:c r="D28" s="8"/>
      <x:c r="E28" s="8"/>
      <x:c r="F28" s="8"/>
      <x:c r="G28" s="8"/>
      <x:c r="H28" s="8"/>
      <x:c r="I28" s="8"/>
      <x:c r="J28" s="8"/>
      <x:c r="K28" s="8"/>
      <x:c r="L28" s="8"/>
      <x:c r="M28" s="8"/>
      <x:c r="N28" s="8"/>
      <x:c r="O28" s="8"/>
      <x:c r="P28" s="8"/>
      <x:c r="Q28" s="8"/>
      <x:c r="R28" s="8"/>
      <x:c r="S28" s="8"/>
    </x:row>
    <x:row r="29">
      <x:c r="A29" s="8"/>
      <x:c r="B29" s="8"/>
      <x:c r="C29" s="8"/>
      <x:c r="D29" s="8"/>
      <x:c r="E29" s="8"/>
      <x:c r="F29" s="8"/>
      <x:c r="G29" s="8"/>
      <x:c r="H29" s="8"/>
      <x:c r="I29" s="8"/>
      <x:c r="J29" s="8"/>
      <x:c r="K29" s="8"/>
      <x:c r="L29" s="8"/>
      <x:c r="M29" s="8"/>
      <x:c r="N29" s="8"/>
      <x:c r="O29" s="8"/>
      <x:c r="P29" s="8"/>
      <x:c r="Q29" s="8"/>
      <x:c r="R29" s="8"/>
      <x:c r="S29" s="8"/>
    </x:row>
    <x:row r="30">
      <x:c r="A30" s="8"/>
      <x:c r="B30" s="8"/>
      <x:c r="C30" s="8"/>
      <x:c r="D30" s="8"/>
      <x:c r="E30" s="8"/>
      <x:c r="F30" s="8"/>
      <x:c r="G30" s="8"/>
      <x:c r="H30" s="8"/>
      <x:c r="I30" s="8"/>
      <x:c r="J30" s="8"/>
      <x:c r="K30" s="8"/>
      <x:c r="L30" s="8"/>
      <x:c r="M30" s="8"/>
      <x:c r="N30" s="8"/>
      <x:c r="O30" s="8"/>
      <x:c r="P30" s="8"/>
      <x:c r="Q30" s="8"/>
      <x:c r="R30" s="8"/>
      <x:c r="S30" s="8"/>
    </x:row>
    <x:row r="31">
      <x:c r="A31" s="8"/>
      <x:c r="B31" s="8"/>
      <x:c r="C31" s="8"/>
      <x:c r="D31" s="8"/>
      <x:c r="E31" s="8"/>
      <x:c r="F31" s="8"/>
      <x:c r="G31" s="8"/>
      <x:c r="H31" s="8"/>
      <x:c r="I31" s="8"/>
      <x:c r="J31" s="8"/>
      <x:c r="K31" s="8"/>
      <x:c r="L31" s="8"/>
      <x:c r="M31" s="8"/>
      <x:c r="N31" s="8"/>
      <x:c r="O31" s="8"/>
      <x:c r="P31" s="8"/>
      <x:c r="Q31" s="8"/>
      <x:c r="R31" s="8"/>
      <x:c r="S31" s="8"/>
    </x:row>
    <x:row r="32">
      <x:c r="A32" s="8"/>
      <x:c r="B32" s="8"/>
      <x:c r="C32" s="8"/>
      <x:c r="D32" s="8"/>
      <x:c r="E32" s="8"/>
      <x:c r="F32" s="8"/>
      <x:c r="G32" s="8"/>
      <x:c r="H32" s="8"/>
      <x:c r="I32" s="8"/>
      <x:c r="J32" s="8"/>
      <x:c r="K32" s="8"/>
      <x:c r="L32" s="8"/>
      <x:c r="M32" s="8"/>
      <x:c r="N32" s="8"/>
      <x:c r="O32" s="8"/>
      <x:c r="P32" s="8"/>
      <x:c r="Q32" s="8"/>
      <x:c r="R32" s="8"/>
      <x:c r="S32" s="8"/>
    </x:row>
    <x:row r="33">
      <x:c r="A33" s="8"/>
      <x:c r="B33" s="8"/>
      <x:c r="C33" s="8"/>
      <x:c r="D33" s="8"/>
      <x:c r="E33" s="8"/>
      <x:c r="F33" s="8"/>
      <x:c r="G33" s="8"/>
      <x:c r="H33" s="8"/>
      <x:c r="I33" s="8"/>
      <x:c r="J33" s="8"/>
      <x:c r="K33" s="8"/>
      <x:c r="L33" s="8"/>
      <x:c r="M33" s="8"/>
      <x:c r="N33" s="8"/>
      <x:c r="O33" s="8"/>
      <x:c r="P33" s="8"/>
      <x:c r="Q33" s="8"/>
      <x:c r="R33" s="8"/>
      <x:c r="S33" s="8"/>
    </x:row>
    <x:row r="34">
      <x:c r="A34" s="8"/>
      <x:c r="B34" s="8"/>
      <x:c r="C34" s="8"/>
      <x:c r="D34" s="8"/>
      <x:c r="E34" s="8"/>
      <x:c r="F34" s="8"/>
      <x:c r="G34" s="8"/>
      <x:c r="H34" s="8"/>
      <x:c r="I34" s="8"/>
      <x:c r="J34" s="8"/>
      <x:c r="K34" s="8"/>
      <x:c r="L34" s="8"/>
      <x:c r="M34" s="8"/>
      <x:c r="N34" s="8"/>
      <x:c r="O34" s="8"/>
      <x:c r="P34" s="8"/>
      <x:c r="Q34" s="8"/>
      <x:c r="R34" s="8"/>
      <x:c r="S34" s="8"/>
    </x:row>
    <x:row r="35">
      <x:c r="A35" s="8"/>
      <x:c r="B35" s="8"/>
      <x:c r="C35" s="8"/>
      <x:c r="D35" s="8"/>
      <x:c r="E35" s="8"/>
      <x:c r="F35" s="8"/>
      <x:c r="G35" s="8"/>
      <x:c r="H35" s="8"/>
      <x:c r="I35" s="8"/>
      <x:c r="J35" s="8"/>
      <x:c r="K35" s="8"/>
      <x:c r="L35" s="8"/>
      <x:c r="M35" s="8"/>
      <x:c r="N35" s="8"/>
      <x:c r="O35" s="8"/>
      <x:c r="P35" s="8"/>
      <x:c r="Q35" s="8"/>
      <x:c r="R35" s="8"/>
      <x:c r="S35" s="8"/>
    </x:row>
    <x:row r="36">
      <x:c r="A36" s="8"/>
      <x:c r="B36" s="8"/>
      <x:c r="C36" s="8"/>
      <x:c r="D36" s="8"/>
      <x:c r="E36" s="8"/>
      <x:c r="F36" s="8"/>
      <x:c r="G36" s="8"/>
      <x:c r="H36" s="8"/>
      <x:c r="I36" s="8"/>
      <x:c r="J36" s="8"/>
      <x:c r="K36" s="8"/>
      <x:c r="L36" s="8"/>
      <x:c r="M36" s="8"/>
      <x:c r="N36" s="8"/>
      <x:c r="O36" s="8"/>
      <x:c r="P36" s="8"/>
      <x:c r="Q36" s="8"/>
      <x:c r="R36" s="8"/>
      <x:c r="S36" s="8"/>
    </x:row>
    <x:row r="37">
      <x:c r="A37" s="8"/>
      <x:c r="B37" s="8"/>
      <x:c r="C37" s="8"/>
      <x:c r="D37" s="8"/>
      <x:c r="E37" s="8"/>
      <x:c r="F37" s="8"/>
      <x:c r="G37" s="8"/>
      <x:c r="H37" s="8"/>
      <x:c r="I37" s="8"/>
      <x:c r="J37" s="8"/>
      <x:c r="K37" s="8"/>
      <x:c r="L37" s="8"/>
      <x:c r="M37" s="8"/>
      <x:c r="N37" s="8"/>
      <x:c r="O37" s="8"/>
      <x:c r="P37" s="8"/>
      <x:c r="Q37" s="8"/>
      <x:c r="R37" s="8"/>
      <x:c r="S37" s="8"/>
    </x:row>
    <x:row r="38">
      <x:c r="A38" s="8"/>
      <x:c r="B38" s="8"/>
      <x:c r="C38" s="8"/>
      <x:c r="D38" s="8"/>
      <x:c r="E38" s="8"/>
      <x:c r="F38" s="8"/>
      <x:c r="G38" s="8"/>
      <x:c r="H38" s="8"/>
      <x:c r="I38" s="8"/>
      <x:c r="J38" s="8"/>
      <x:c r="K38" s="8"/>
      <x:c r="L38" s="8"/>
      <x:c r="M38" s="8"/>
      <x:c r="N38" s="8"/>
      <x:c r="O38" s="8"/>
      <x:c r="P38" s="8"/>
      <x:c r="Q38" s="8"/>
      <x:c r="R38" s="8"/>
      <x:c r="S38" s="8"/>
    </x:row>
    <x:row r="39">
      <x:c r="A39" s="8"/>
      <x:c r="B39" s="8"/>
      <x:c r="C39" s="8"/>
      <x:c r="D39" s="8"/>
      <x:c r="E39" s="8"/>
      <x:c r="F39" s="8"/>
      <x:c r="G39" s="8"/>
      <x:c r="H39" s="8"/>
      <x:c r="I39" s="8"/>
      <x:c r="J39" s="8"/>
      <x:c r="K39" s="8"/>
      <x:c r="L39" s="8"/>
      <x:c r="M39" s="8"/>
      <x:c r="N39" s="8"/>
      <x:c r="O39" s="8"/>
      <x:c r="P39" s="8"/>
      <x:c r="Q39" s="8"/>
      <x:c r="R39" s="8"/>
      <x:c r="S39" s="8"/>
    </x:row>
    <x:row r="40">
      <x:c r="A40" s="8"/>
      <x:c r="B40" s="8"/>
      <x:c r="C40" s="8"/>
      <x:c r="D40" s="8"/>
      <x:c r="E40" s="8"/>
      <x:c r="F40" s="8"/>
      <x:c r="G40" s="8"/>
      <x:c r="H40" s="8"/>
      <x:c r="I40" s="8"/>
      <x:c r="J40" s="8"/>
      <x:c r="K40" s="8"/>
      <x:c r="L40" s="8"/>
      <x:c r="M40" s="8"/>
      <x:c r="N40" s="8"/>
      <x:c r="O40" s="8"/>
      <x:c r="P40" s="8"/>
      <x:c r="Q40" s="8"/>
      <x:c r="R40" s="8"/>
      <x:c r="S40" s="8"/>
    </x:row>
    <x:row r="41">
      <x:c r="A41" s="8"/>
      <x:c r="B41" s="8"/>
      <x:c r="C41" s="8"/>
      <x:c r="D41" s="8"/>
      <x:c r="E41" s="8"/>
      <x:c r="F41" s="8"/>
      <x:c r="G41" s="8"/>
      <x:c r="H41" s="8"/>
      <x:c r="I41" s="8"/>
      <x:c r="J41" s="8"/>
      <x:c r="K41" s="8"/>
      <x:c r="L41" s="8"/>
      <x:c r="M41" s="8"/>
      <x:c r="N41" s="8"/>
      <x:c r="O41" s="8"/>
      <x:c r="P41" s="8"/>
      <x:c r="Q41" s="8"/>
      <x:c r="R41" s="8"/>
      <x:c r="S41" s="8"/>
    </x:row>
    <x:row r="42">
      <x:c r="A42" s="8"/>
      <x:c r="B42" s="8"/>
      <x:c r="C42" s="8"/>
      <x:c r="D42" s="8"/>
      <x:c r="E42" s="8"/>
      <x:c r="F42" s="8"/>
      <x:c r="G42" s="8"/>
      <x:c r="H42" s="8"/>
      <x:c r="I42" s="8"/>
      <x:c r="J42" s="8"/>
      <x:c r="K42" s="8"/>
      <x:c r="L42" s="8"/>
      <x:c r="M42" s="8"/>
      <x:c r="N42" s="8"/>
      <x:c r="O42" s="8"/>
      <x:c r="P42" s="8"/>
      <x:c r="Q42" s="8"/>
      <x:c r="R42" s="8"/>
      <x:c r="S42" s="8"/>
    </x:row>
    <x:row r="43">
      <x:c r="A43" s="8"/>
      <x:c r="B43" s="8"/>
      <x:c r="C43" s="8"/>
      <x:c r="D43" s="8"/>
      <x:c r="E43" s="8"/>
      <x:c r="F43" s="8"/>
      <x:c r="G43" s="8"/>
      <x:c r="H43" s="8"/>
      <x:c r="I43" s="8"/>
      <x:c r="J43" s="8"/>
      <x:c r="K43" s="8"/>
      <x:c r="L43" s="8"/>
      <x:c r="M43" s="8"/>
      <x:c r="N43" s="8"/>
      <x:c r="O43" s="8"/>
      <x:c r="P43" s="8"/>
      <x:c r="Q43" s="8"/>
      <x:c r="R43" s="8"/>
      <x:c r="S43" s="8"/>
    </x:row>
    <x:row r="44">
      <x:c r="A44" s="8"/>
      <x:c r="B44" s="8"/>
      <x:c r="C44" s="8"/>
      <x:c r="D44" s="8"/>
      <x:c r="E44" s="8"/>
      <x:c r="F44" s="8"/>
      <x:c r="G44" s="8"/>
      <x:c r="H44" s="8"/>
      <x:c r="I44" s="8"/>
      <x:c r="J44" s="8"/>
      <x:c r="K44" s="8"/>
      <x:c r="L44" s="8"/>
      <x:c r="M44" s="8"/>
      <x:c r="N44" s="8"/>
      <x:c r="O44" s="8"/>
      <x:c r="P44" s="8"/>
      <x:c r="Q44" s="8"/>
      <x:c r="R44" s="8"/>
      <x:c r="S44" s="8"/>
    </x:row>
    <x:row r="45">
      <x:c r="A45" s="8"/>
      <x:c r="B45" s="8"/>
      <x:c r="C45" s="8"/>
      <x:c r="D45" s="8"/>
      <x:c r="E45" s="8"/>
      <x:c r="F45" s="8"/>
      <x:c r="G45" s="8"/>
      <x:c r="H45" s="8"/>
      <x:c r="I45" s="8"/>
      <x:c r="J45" s="8"/>
      <x:c r="K45" s="8"/>
      <x:c r="L45" s="8"/>
      <x:c r="M45" s="8"/>
      <x:c r="N45" s="8"/>
      <x:c r="O45" s="8"/>
      <x:c r="P45" s="8"/>
      <x:c r="Q45" s="8"/>
      <x:c r="R45" s="8"/>
      <x:c r="S45" s="8"/>
    </x:row>
    <x:row r="46">
      <x:c r="A46" s="8"/>
      <x:c r="B46" s="8"/>
      <x:c r="C46" s="8"/>
      <x:c r="D46" s="8"/>
      <x:c r="E46" s="8"/>
      <x:c r="F46" s="8"/>
      <x:c r="G46" s="8"/>
      <x:c r="H46" s="8"/>
      <x:c r="I46" s="8"/>
      <x:c r="J46" s="8"/>
      <x:c r="K46" s="8"/>
      <x:c r="L46" s="8"/>
      <x:c r="M46" s="8"/>
      <x:c r="N46" s="8"/>
      <x:c r="O46" s="8"/>
      <x:c r="P46" s="8"/>
      <x:c r="Q46" s="8"/>
      <x:c r="R46" s="8"/>
      <x:c r="S46" s="8"/>
    </x:row>
    <x:row r="47">
      <x:c r="A47" s="8"/>
      <x:c r="B47" s="8"/>
      <x:c r="C47" s="8"/>
      <x:c r="D47" s="8"/>
      <x:c r="E47" s="8"/>
      <x:c r="F47" s="8"/>
      <x:c r="G47" s="8"/>
      <x:c r="H47" s="8"/>
      <x:c r="I47" s="8"/>
      <x:c r="J47" s="8"/>
      <x:c r="K47" s="8"/>
      <x:c r="L47" s="8"/>
      <x:c r="M47" s="8"/>
      <x:c r="N47" s="8"/>
      <x:c r="O47" s="8"/>
      <x:c r="P47" s="8"/>
      <x:c r="Q47" s="8"/>
      <x:c r="R47" s="8"/>
      <x:c r="S47" s="8"/>
    </x:row>
    <x:row r="48">
      <x:c r="A48" s="8"/>
      <x:c r="B48" s="8"/>
      <x:c r="C48" s="8"/>
      <x:c r="D48" s="8"/>
      <x:c r="E48" s="8"/>
      <x:c r="F48" s="8"/>
      <x:c r="G48" s="8"/>
      <x:c r="H48" s="8"/>
      <x:c r="I48" s="8"/>
      <x:c r="J48" s="8"/>
      <x:c r="K48" s="8"/>
      <x:c r="L48" s="8"/>
      <x:c r="M48" s="8"/>
      <x:c r="N48" s="8"/>
      <x:c r="O48" s="8"/>
      <x:c r="P48" s="8"/>
      <x:c r="Q48" s="8"/>
      <x:c r="R48" s="8"/>
      <x:c r="S48" s="8"/>
    </x:row>
    <x:row r="49">
      <x:c r="A49" s="8"/>
      <x:c r="B49" s="8"/>
      <x:c r="C49" s="8"/>
      <x:c r="D49" s="8"/>
      <x:c r="E49" s="8"/>
      <x:c r="F49" s="8"/>
      <x:c r="G49" s="8"/>
      <x:c r="H49" s="8"/>
      <x:c r="I49" s="8"/>
      <x:c r="J49" s="8"/>
      <x:c r="K49" s="8"/>
      <x:c r="L49" s="8"/>
      <x:c r="M49" s="8"/>
      <x:c r="N49" s="8"/>
      <x:c r="O49" s="8"/>
      <x:c r="P49" s="8"/>
      <x:c r="Q49" s="8"/>
      <x:c r="R49" s="8"/>
      <x:c r="S49" s="8"/>
    </x:row>
    <x:row r="50">
      <x:c r="A50" s="8"/>
      <x:c r="B50" s="8"/>
      <x:c r="C50" s="8"/>
      <x:c r="D50" s="8"/>
      <x:c r="E50" s="8"/>
      <x:c r="F50" s="8"/>
      <x:c r="G50" s="8"/>
      <x:c r="H50" s="8"/>
      <x:c r="I50" s="8"/>
      <x:c r="J50" s="8"/>
      <x:c r="K50" s="8"/>
      <x:c r="L50" s="8"/>
      <x:c r="M50" s="8"/>
      <x:c r="N50" s="8"/>
      <x:c r="O50" s="8"/>
      <x:c r="P50" s="8"/>
      <x:c r="Q50" s="8"/>
      <x:c r="R50" s="8"/>
      <x:c r="S50" s="8"/>
    </x:row>
    <x:row r="51">
      <x:c r="A51" s="8"/>
      <x:c r="B51" s="8"/>
      <x:c r="C51" s="8"/>
      <x:c r="D51" s="8"/>
      <x:c r="E51" s="8"/>
      <x:c r="F51" s="8"/>
      <x:c r="G51" s="8"/>
      <x:c r="H51" s="8"/>
      <x:c r="I51" s="8"/>
      <x:c r="J51" s="8"/>
      <x:c r="K51" s="8"/>
      <x:c r="L51" s="8"/>
      <x:c r="M51" s="8"/>
      <x:c r="N51" s="8"/>
      <x:c r="O51" s="8"/>
      <x:c r="P51" s="8"/>
      <x:c r="Q51" s="8"/>
      <x:c r="R51" s="8"/>
      <x:c r="S51" s="8"/>
    </x:row>
    <x:row r="52">
      <x:c r="A52" s="8"/>
      <x:c r="B52" s="8"/>
      <x:c r="C52" s="8"/>
      <x:c r="D52" s="8"/>
      <x:c r="E52" s="8"/>
      <x:c r="F52" s="8"/>
      <x:c r="G52" s="8"/>
      <x:c r="H52" s="8"/>
      <x:c r="I52" s="8"/>
      <x:c r="J52" s="8"/>
      <x:c r="K52" s="8"/>
      <x:c r="L52" s="8"/>
      <x:c r="M52" s="8"/>
      <x:c r="N52" s="8"/>
      <x:c r="O52" s="8"/>
      <x:c r="P52" s="8"/>
      <x:c r="Q52" s="8"/>
      <x:c r="R52" s="8"/>
      <x:c r="S52" s="8"/>
    </x:row>
    <x:row r="53">
      <x:c r="A53" s="8"/>
      <x:c r="B53" s="8"/>
      <x:c r="C53" s="8"/>
      <x:c r="D53" s="8"/>
      <x:c r="E53" s="8"/>
      <x:c r="F53" s="8"/>
      <x:c r="G53" s="8"/>
      <x:c r="H53" s="8"/>
      <x:c r="I53" s="8"/>
      <x:c r="J53" s="8"/>
      <x:c r="K53" s="8"/>
      <x:c r="L53" s="8"/>
      <x:c r="M53" s="8"/>
      <x:c r="N53" s="8"/>
      <x:c r="O53" s="8"/>
      <x:c r="P53" s="8"/>
      <x:c r="Q53" s="8"/>
      <x:c r="R53" s="8"/>
      <x:c r="S53" s="8"/>
    </x:row>
    <x:row r="54">
      <x:c r="A54" s="8"/>
      <x:c r="B54" s="8"/>
      <x:c r="C54" s="8"/>
      <x:c r="D54" s="8"/>
      <x:c r="E54" s="8"/>
      <x:c r="F54" s="8"/>
      <x:c r="G54" s="8"/>
      <x:c r="H54" s="8"/>
      <x:c r="I54" s="8"/>
      <x:c r="J54" s="8"/>
      <x:c r="K54" s="8"/>
      <x:c r="L54" s="8"/>
      <x:c r="M54" s="8"/>
      <x:c r="N54" s="8"/>
      <x:c r="O54" s="8"/>
      <x:c r="P54" s="8"/>
      <x:c r="Q54" s="8"/>
      <x:c r="R54" s="8"/>
      <x:c r="S54" s="8"/>
    </x:row>
    <x:row r="55">
      <x:c r="A55" s="8"/>
      <x:c r="B55" s="8"/>
      <x:c r="C55" s="8"/>
      <x:c r="D55" s="8"/>
      <x:c r="E55" s="8"/>
      <x:c r="F55" s="8"/>
      <x:c r="G55" s="8"/>
      <x:c r="H55" s="8"/>
      <x:c r="I55" s="8"/>
      <x:c r="J55" s="8"/>
      <x:c r="K55" s="8"/>
      <x:c r="L55" s="8"/>
      <x:c r="M55" s="8"/>
      <x:c r="N55" s="8"/>
      <x:c r="O55" s="8"/>
      <x:c r="P55" s="8"/>
      <x:c r="Q55" s="8"/>
      <x:c r="R55" s="8"/>
      <x:c r="S55" s="8"/>
    </x:row>
    <x:row r="56">
      <x:c r="A56" s="8"/>
      <x:c r="B56" s="8"/>
      <x:c r="C56" s="8"/>
      <x:c r="D56" s="8"/>
      <x:c r="E56" s="8"/>
      <x:c r="F56" s="8"/>
      <x:c r="G56" s="8"/>
      <x:c r="H56" s="8"/>
      <x:c r="I56" s="8"/>
      <x:c r="J56" s="8"/>
      <x:c r="K56" s="8"/>
      <x:c r="L56" s="8"/>
      <x:c r="M56" s="8"/>
      <x:c r="N56" s="8"/>
      <x:c r="O56" s="8"/>
      <x:c r="P56" s="8"/>
      <x:c r="Q56" s="8"/>
      <x:c r="R56" s="8"/>
      <x:c r="S56" s="8"/>
    </x:row>
    <x:row r="57">
      <x:c r="A57" s="8"/>
      <x:c r="B57" s="8"/>
      <x:c r="C57" s="8"/>
      <x:c r="D57" s="8"/>
      <x:c r="E57" s="8"/>
      <x:c r="F57" s="8"/>
      <x:c r="G57" s="8"/>
      <x:c r="H57" s="8"/>
      <x:c r="I57" s="8"/>
      <x:c r="J57" s="8"/>
      <x:c r="K57" s="8"/>
      <x:c r="L57" s="8"/>
      <x:c r="M57" s="8"/>
      <x:c r="N57" s="8"/>
      <x:c r="O57" s="8"/>
      <x:c r="P57" s="8"/>
      <x:c r="Q57" s="8"/>
      <x:c r="R57" s="8"/>
      <x:c r="S57" s="8"/>
    </x:row>
    <x:row r="58">
      <x:c r="A58" s="8"/>
      <x:c r="B58" s="8"/>
      <x:c r="C58" s="8"/>
      <x:c r="D58" s="8"/>
      <x:c r="E58" s="8"/>
      <x:c r="F58" s="8"/>
      <x:c r="G58" s="8"/>
      <x:c r="H58" s="8"/>
      <x:c r="I58" s="8"/>
      <x:c r="J58" s="8"/>
      <x:c r="K58" s="8"/>
      <x:c r="L58" s="8"/>
      <x:c r="M58" s="8"/>
      <x:c r="N58" s="8"/>
      <x:c r="O58" s="8"/>
      <x:c r="P58" s="8"/>
      <x:c r="Q58" s="8"/>
      <x:c r="R58" s="8"/>
      <x:c r="S58" s="8"/>
    </x:row>
    <x:row r="59">
      <x:c r="A59" s="8"/>
      <x:c r="B59" s="8"/>
      <x:c r="C59" s="8"/>
      <x:c r="D59" s="8"/>
      <x:c r="E59" s="8"/>
      <x:c r="F59" s="8"/>
      <x:c r="G59" s="8"/>
      <x:c r="H59" s="8"/>
      <x:c r="I59" s="8"/>
      <x:c r="J59" s="8"/>
      <x:c r="K59" s="8"/>
      <x:c r="L59" s="8"/>
      <x:c r="M59" s="8"/>
      <x:c r="N59" s="8"/>
      <x:c r="O59" s="8"/>
      <x:c r="P59" s="8"/>
      <x:c r="Q59" s="8"/>
      <x:c r="R59" s="8"/>
      <x:c r="S59" s="8"/>
    </x:row>
    <x:row r="60">
      <x:c r="A60" s="8"/>
      <x:c r="B60" s="8"/>
      <x:c r="C60" s="8"/>
      <x:c r="D60" s="8"/>
      <x:c r="E60" s="8"/>
      <x:c r="F60" s="8"/>
      <x:c r="G60" s="8"/>
      <x:c r="H60" s="8"/>
      <x:c r="I60" s="8"/>
      <x:c r="J60" s="8"/>
      <x:c r="K60" s="8"/>
      <x:c r="L60" s="8"/>
      <x:c r="M60" s="8"/>
      <x:c r="N60" s="8"/>
      <x:c r="O60" s="8"/>
      <x:c r="P60" s="8"/>
      <x:c r="Q60" s="8"/>
      <x:c r="R60" s="8"/>
      <x:c r="S60" s="8"/>
    </x:row>
  </x:sheetData>
  <x:pageMargins left="0.7" right="0.7" top="0.75" bottom="0.75" header="0.3" footer="0.3"/>
  <x:tableParts count="1">
    <x:tablePart xmlns:r="http://schemas.openxmlformats.org/officeDocument/2006/relationships" r:id="Rd35dc9c76e4b4d51"/>
  </x:tableParts>
</x:worksheet>
</file>

<file path=xl/worksheets/sheet4.xml><?xml version="1.0" encoding="utf-8"?>
<x:worksheet xmlns:x="http://schemas.openxmlformats.org/spreadsheetml/2006/main">
  <x:sheetPr>
    <x:tabColor rgb="FFC9A85A"/>
  </x:sheetPr>
  <x:sheetViews>
    <x:sheetView showGridLines="0" workbookViewId="0">
      <x:pane ySplit="5" topLeftCell="A6" activePane="bottomLeft" state="frozen"/>
    </x:sheetView>
  </x:sheetViews>
  <x:sheetFormatPr defaultRowHeight="15"/>
  <x:cols>
    <x:col min="1" max="1" width="23" hidden="0" customWidth="1"/>
    <x:col min="2" max="2" width="68" hidden="0" customWidth="1"/>
    <x:col min="3" max="3" width="20" hidden="0" customWidth="1"/>
    <x:col min="4" max="4" width="54" hidden="0" customWidth="1"/>
  </x:cols>
  <x:sheetData>
    <x:row r="1" ht="9" customHeight="1">
      <x:c r="A1" s="8"/>
      <x:c r="B1" s="8"/>
      <x:c r="C1" s="8"/>
      <x:c r="D1" s="8"/>
    </x:row>
    <x:row r="2">
      <x:c r="A2" s="5" t="str">
        <x:v>換算式と確定状況</x:v>
      </x:c>
      <x:c r="B2" s="8"/>
      <x:c r="C2" s="8"/>
      <x:c r="D2" s="8"/>
    </x:row>
    <x:row r="3">
      <x:c r="A3" s="6" t="str">
        <x:v>一覧の読み方と、2026-09-23時点で採用・検討中・未決定の項目。</x:v>
      </x:c>
      <x:c r="B3" s="6"/>
      <x:c r="C3" s="6"/>
      <x:c r="D3" s="6"/>
    </x:row>
    <x:row r="4">
      <x:c r="A4" s="9"/>
      <x:c r="B4" s="9"/>
      <x:c r="C4" s="9"/>
      <x:c r="D4" s="9"/>
    </x:row>
    <x:row r="5" ht="31" customHeight="1">
      <x:c r="A5" s="14" t="str">
        <x:v>項目</x:v>
      </x:c>
      <x:c r="B5" s="14" t="str">
        <x:v>式・扱い</x:v>
      </x:c>
      <x:c r="C5" s="14" t="str">
        <x:v>状態</x:v>
      </x:c>
      <x:c r="D5" s="14" t="str">
        <x:v>補足</x:v>
      </x:c>
    </x:row>
    <x:row r="6" ht="35" customHeight="1">
      <x:c r="A6" s="40" t="str">
        <x:v>HP</x:v>
      </x:c>
      <x:c r="B6" s="22" t="str">
        <x:v>TRPGシートの現在HP。竜人はSIZ増加時HPを標準戦闘値に使用</x:v>
      </x:c>
      <x:c r="C6" s="42" t="str">
        <x:v>採用方針</x:v>
      </x:c>
      <x:c r="D6" s="22" t="str"/>
    </x:row>
    <x:row r="7" ht="35" customHeight="1">
      <x:c r="A7" s="41" t="str">
        <x:v>力</x:v>
      </x:c>
      <x:c r="B7" s="23" t="str">
        <x:v>STR</x:v>
      </x:c>
      <x:c r="C7" s="43" t="str">
        <x:v>採用方針</x:v>
      </x:c>
      <x:c r="D7" s="23" t="str">
        <x:v>物理攻撃の対抗値</x:v>
      </x:c>
    </x:row>
    <x:row r="8" ht="35" customHeight="1">
      <x:c r="A8" s="41" t="str">
        <x:v>防御</x:v>
      </x:c>
      <x:c r="B8" s="23" t="str">
        <x:v>floor((STR + 戦闘時SIZ) / 2)</x:v>
      </x:c>
      <x:c r="C8" s="43" t="str">
        <x:v>採用方針</x:v>
      </x:c>
      <x:c r="D8" s="23" t="str">
        <x:v>装備・兵種・スキル補正は別加算</x:v>
      </x:c>
    </x:row>
    <x:row r="9" ht="35" customHeight="1">
      <x:c r="A9" s="41" t="str">
        <x:v>魔攻</x:v>
      </x:c>
      <x:c r="B9" s="23" t="str">
        <x:v>POW</x:v>
      </x:c>
      <x:c r="C9" s="43" t="str">
        <x:v>採用方針</x:v>
      </x:c>
      <x:c r="D9" s="23" t="str"/>
    </x:row>
    <x:row r="10" ht="35" customHeight="1">
      <x:c r="A10" s="41" t="str">
        <x:v>魔防</x:v>
      </x:c>
      <x:c r="B10" s="23" t="str">
        <x:v>floor((POW + CON) / 2)</x:v>
      </x:c>
      <x:c r="C10" s="44" t="str">
        <x:v>有力候補</x:v>
      </x:c>
      <x:c r="D10" s="23" t="str"/>
    </x:row>
    <x:row r="11" ht="35" customHeight="1">
      <x:c r="A11" s="41" t="str">
        <x:v>技</x:v>
      </x:c>
      <x:c r="B11" s="23" t="str">
        <x:v>floor(DEX / 2)</x:v>
      </x:c>
      <x:c r="C11" s="44" t="str">
        <x:v>仮</x:v>
      </x:c>
      <x:c r="D11" s="23" t="str">
        <x:v>命中・必殺・技巧効果の基礎</x:v>
      </x:c>
    </x:row>
    <x:row r="12" ht="35" customHeight="1">
      <x:c r="A12" s="41" t="str">
        <x:v>速さ</x:v>
      </x:c>
      <x:c r="B12" s="23" t="str">
        <x:v>floor(DEX / 4) + 回避適性</x:v>
      </x:c>
      <x:c r="C12" s="43" t="str">
        <x:v>採用方針</x:v>
      </x:c>
      <x:c r="D12" s="23" t="str">
        <x:v>SIZは基本速さから引かない</x:v>
      </x:c>
    </x:row>
    <x:row r="13" ht="35" customHeight="1">
      <x:c r="A13" s="41" t="str">
        <x:v>魅力</x:v>
      </x:c>
      <x:c r="B13" s="23" t="str">
        <x:v>APP</x:v>
      </x:c>
      <x:c r="C13" s="43" t="str">
        <x:v>採用方針</x:v>
      </x:c>
      <x:c r="D13" s="23" t="str">
        <x:v>勇気とは別能力</x:v>
      </x:c>
    </x:row>
    <x:row r="14" ht="35" customHeight="1">
      <x:c r="A14" s="41" t="str">
        <x:v>体格回避補正</x:v>
      </x:c>
      <x:c r="B14" s="23" t="str">
        <x:v>clamp(11 - 戦闘時SIZ, -10, +5)</x:v>
      </x:c>
      <x:c r="C14" s="43" t="str">
        <x:v>採用方針</x:v>
      </x:c>
      <x:c r="D14" s="23" t="str">
        <x:v>正なら避けやすく、負なら狙われやすい</x:v>
      </x:c>
    </x:row>
    <x:row r="15" ht="35" customHeight="1">
      <x:c r="A15" s="41" t="str">
        <x:v>命中側スコア</x:v>
      </x:c>
      <x:c r="B15" s="23" t="str">
        <x:v>60 + 技 × 2.5</x:v>
      </x:c>
      <x:c r="C15" s="43" t="str">
        <x:v>採用方針</x:v>
      </x:c>
      <x:c r="D15" s="23" t="str">
        <x:v>単独では確率ではない</x:v>
      </x:c>
    </x:row>
    <x:row r="16" ht="35" customHeight="1">
      <x:c r="A16" s="41" t="str">
        <x:v>回避減算値</x:v>
      </x:c>
      <x:c r="B16" s="23" t="str">
        <x:v>速さ × 2.5 + 体格回避補正</x:v>
      </x:c>
      <x:c r="C16" s="43" t="str">
        <x:v>採用方針</x:v>
      </x:c>
      <x:c r="D16" s="23" t="str">
        <x:v>単独では回避率ではない</x:v>
      </x:c>
    </x:row>
    <x:row r="17" ht="35" customHeight="1">
      <x:c r="A17" s="41" t="str">
        <x:v>最終命中率</x:v>
      </x:c>
      <x:c r="B17" s="23" t="str">
        <x:v>clamp(round(命中側スコア - 回避減算値 + 攻撃補正 - 防御補正), 5, 100)</x:v>
      </x:c>
      <x:c r="C17" s="43" t="str">
        <x:v>採用方針</x:v>
      </x:c>
      <x:c r="D17" s="23" t="str">
        <x:v>武器固有命中は現段階で不採用</x:v>
      </x:c>
    </x:row>
    <x:row r="18" ht="35" customHeight="1">
      <x:c r="A18" s="41" t="str">
        <x:v>物理ダメージ</x:v>
      </x:c>
      <x:c r="B18" s="23" t="str">
        <x:v>max(1, round(6 + (力 - 防御) / 2 + 行動・スキル補正))</x:v>
      </x:c>
      <x:c r="C18" s="39" t="str">
        <x:v>最新提案・未確定</x:v>
      </x:c>
      <x:c r="D18" s="23" t="str">
        <x:v>単純減算による最低1への潰れを防ぐ案</x:v>
      </x:c>
    </x:row>
    <x:row r="19" ht="35" customHeight="1">
      <x:c r="A19" s="41" t="str">
        <x:v>魔法ダメージ</x:v>
      </x:c>
      <x:c r="B19" s="23" t="str">
        <x:v>max(1, round(6 + (魔攻 - 魔防) / 2 + 行動・スキル補正))</x:v>
      </x:c>
      <x:c r="C19" s="39" t="str">
        <x:v>最新提案・未確定</x:v>
      </x:c>
      <x:c r="D19" s="23" t="str"/>
    </x:row>
    <x:row r="20" ht="35" customHeight="1">
      <x:c r="A20" s="41" t="str">
        <x:v>Dual発生率</x:v>
      </x:c>
      <x:c r="B20" s="23" t="str">
        <x:v>支援なし5%、C15%、B25%、A35%</x:v>
      </x:c>
      <x:c r="C20" s="44" t="str">
        <x:v>初期案</x:v>
      </x:c>
      <x:c r="D20" s="23" t="str">
        <x:v>1戦闘につき1回。後衛は別途命中判定</x:v>
      </x:c>
    </x:row>
    <x:row r="21" ht="35" customHeight="1">
      <x:c r="A21" s="41" t="str">
        <x:v>勇気</x:v>
      </x:c>
      <x:c r="B21" s="23" t="str">
        <x:v>0から100の独立値</x:v>
      </x:c>
      <x:c r="C21" s="39" t="str">
        <x:v>用途未決</x:v>
      </x:c>
      <x:c r="D21" s="23" t="str">
        <x:v>反撃・Dual・Breakとの関係は未決</x:v>
      </x:c>
    </x:row>
    <x:row r="22" ht="35" customHeight="1">
      <x:c r="A22" s="41" t="str">
        <x:v>幸運</x:v>
      </x:c>
      <x:c r="B22" s="23" t="str">
        <x:v>0から100の独立値</x:v>
      </x:c>
      <x:c r="C22" s="39" t="str">
        <x:v>用途未決</x:v>
      </x:c>
      <x:c r="D22" s="23" t="str"/>
    </x:row>
    <x:row r="23" ht="35" customHeight="1">
      <x:c r="A23" s="41" t="str">
        <x:v>必殺率・必殺回避</x:v>
      </x:c>
      <x:c r="B23" s="23" t="str">
        <x:v>未決</x:v>
      </x:c>
      <x:c r="C23" s="39" t="str">
        <x:v>未決</x:v>
      </x:c>
      <x:c r="D23" s="23" t="str">
        <x:v>現行式は新設計へ採用しない</x:v>
      </x:c>
    </x:row>
    <x:row r="24" ht="35" customHeight="1">
      <x:c r="A24" s="41" t="str">
        <x:v>追撃・移動</x:v>
      </x:c>
      <x:c r="B24" s="23" t="str">
        <x:v>未決</x:v>
      </x:c>
      <x:c r="C24" s="39" t="str">
        <x:v>未決</x:v>
      </x:c>
      <x:c r="D24" s="23" t="str">
        <x:v>兵種、騎乗、飛行を含めて設計予定</x:v>
      </x:c>
    </x:row>
    <x:row r="25">
      <x:c r="A25" s="8"/>
      <x:c r="B25" s="8"/>
      <x:c r="C25" s="8"/>
      <x:c r="D25" s="8"/>
    </x:row>
    <x:row r="26">
      <x:c r="A26" s="8"/>
      <x:c r="B26" s="8"/>
      <x:c r="C26" s="8"/>
      <x:c r="D26" s="8"/>
    </x:row>
    <x:row r="27">
      <x:c r="A27" s="8"/>
      <x:c r="B27" s="8"/>
      <x:c r="C27" s="8"/>
      <x:c r="D27" s="8"/>
    </x:row>
    <x:row r="28">
      <x:c r="A28" s="8"/>
      <x:c r="B28" s="8"/>
      <x:c r="C28" s="8"/>
      <x:c r="D28" s="8"/>
    </x:row>
    <x:row r="29">
      <x:c r="A29" s="8"/>
      <x:c r="B29" s="8"/>
      <x:c r="C29" s="8"/>
      <x:c r="D29" s="8"/>
    </x:row>
    <x:row r="30">
      <x:c r="A30" s="8"/>
      <x:c r="B30" s="8"/>
      <x:c r="C30" s="8"/>
      <x:c r="D30" s="8"/>
    </x:row>
    <x:row r="31">
      <x:c r="A31" s="8"/>
      <x:c r="B31" s="8"/>
      <x:c r="C31" s="8"/>
      <x:c r="D31" s="8"/>
    </x:row>
    <x:row r="32">
      <x:c r="A32" s="8"/>
      <x:c r="B32" s="8"/>
      <x:c r="C32" s="8"/>
      <x:c r="D32" s="8"/>
    </x:row>
    <x:row r="33">
      <x:c r="A33" s="8"/>
      <x:c r="B33" s="8"/>
      <x:c r="C33" s="8"/>
      <x:c r="D33" s="8"/>
    </x:row>
    <x:row r="34">
      <x:c r="A34" s="8"/>
      <x:c r="B34" s="8"/>
      <x:c r="C34" s="8"/>
      <x:c r="D34" s="8"/>
    </x:row>
    <x:row r="35">
      <x:c r="A35" s="8"/>
      <x:c r="B35" s="8"/>
      <x:c r="C35" s="8"/>
      <x:c r="D35" s="8"/>
    </x:row>
    <x:row r="36">
      <x:c r="A36" s="8"/>
      <x:c r="B36" s="8"/>
      <x:c r="C36" s="8"/>
      <x:c r="D36" s="8"/>
    </x:row>
    <x:row r="37">
      <x:c r="A37" s="8"/>
      <x:c r="B37" s="8"/>
      <x:c r="C37" s="8"/>
      <x:c r="D37" s="8"/>
    </x:row>
    <x:row r="38">
      <x:c r="A38" s="8"/>
      <x:c r="B38" s="8"/>
      <x:c r="C38" s="8"/>
      <x:c r="D38" s="8"/>
    </x:row>
    <x:row r="39">
      <x:c r="A39" s="8"/>
      <x:c r="B39" s="8"/>
      <x:c r="C39" s="8"/>
      <x:c r="D39" s="8"/>
    </x:row>
    <x:row r="40">
      <x:c r="A40" s="8"/>
      <x:c r="B40" s="8"/>
      <x:c r="C40" s="8"/>
      <x:c r="D40" s="8"/>
    </x:row>
    <x:row r="41">
      <x:c r="A41" s="8"/>
      <x:c r="B41" s="8"/>
      <x:c r="C41" s="8"/>
      <x:c r="D41" s="8"/>
    </x:row>
    <x:row r="42">
      <x:c r="A42" s="8"/>
      <x:c r="B42" s="8"/>
      <x:c r="C42" s="8"/>
      <x:c r="D42" s="8"/>
    </x:row>
    <x:row r="43">
      <x:c r="A43" s="8"/>
      <x:c r="B43" s="8"/>
      <x:c r="C43" s="8"/>
      <x:c r="D43" s="8"/>
    </x:row>
    <x:row r="44">
      <x:c r="A44" s="8"/>
      <x:c r="B44" s="8"/>
      <x:c r="C44" s="8"/>
      <x:c r="D44" s="8"/>
    </x:row>
    <x:row r="45">
      <x:c r="A45" s="8"/>
      <x:c r="B45" s="8"/>
      <x:c r="C45" s="8"/>
      <x:c r="D45" s="8"/>
    </x:row>
    <x:row r="46">
      <x:c r="A46" s="8"/>
      <x:c r="B46" s="8"/>
      <x:c r="C46" s="8"/>
      <x:c r="D46" s="8"/>
    </x:row>
    <x:row r="47">
      <x:c r="A47" s="8"/>
      <x:c r="B47" s="8"/>
      <x:c r="C47" s="8"/>
      <x:c r="D47" s="8"/>
    </x:row>
    <x:row r="48">
      <x:c r="A48" s="8"/>
      <x:c r="B48" s="8"/>
      <x:c r="C48" s="8"/>
      <x:c r="D48" s="8"/>
    </x:row>
    <x:row r="49">
      <x:c r="A49" s="8"/>
      <x:c r="B49" s="8"/>
      <x:c r="C49" s="8"/>
      <x:c r="D49" s="8"/>
    </x:row>
    <x:row r="50">
      <x:c r="A50" s="8"/>
      <x:c r="B50" s="8"/>
      <x:c r="C50" s="8"/>
      <x:c r="D50" s="8"/>
    </x:row>
    <x:row r="51">
      <x:c r="A51" s="8"/>
      <x:c r="B51" s="8"/>
      <x:c r="C51" s="8"/>
      <x:c r="D51" s="8"/>
    </x:row>
    <x:row r="52">
      <x:c r="A52" s="8"/>
      <x:c r="B52" s="8"/>
      <x:c r="C52" s="8"/>
      <x:c r="D52" s="8"/>
    </x:row>
    <x:row r="53">
      <x:c r="A53" s="8"/>
      <x:c r="B53" s="8"/>
      <x:c r="C53" s="8"/>
      <x:c r="D53" s="8"/>
    </x:row>
    <x:row r="54">
      <x:c r="A54" s="8"/>
      <x:c r="B54" s="8"/>
      <x:c r="C54" s="8"/>
      <x:c r="D54" s="8"/>
    </x:row>
    <x:row r="55">
      <x:c r="A55" s="8"/>
      <x:c r="B55" s="8"/>
      <x:c r="C55" s="8"/>
      <x:c r="D55" s="8"/>
    </x:row>
    <x:row r="56">
      <x:c r="A56" s="8"/>
      <x:c r="B56" s="8"/>
      <x:c r="C56" s="8"/>
      <x:c r="D56" s="8"/>
    </x:row>
    <x:row r="57">
      <x:c r="A57" s="8"/>
      <x:c r="B57" s="8"/>
      <x:c r="C57" s="8"/>
      <x:c r="D57" s="8"/>
    </x:row>
    <x:row r="58">
      <x:c r="A58" s="8"/>
      <x:c r="B58" s="8"/>
      <x:c r="C58" s="8"/>
      <x:c r="D58" s="8"/>
    </x:row>
    <x:row r="59">
      <x:c r="A59" s="8"/>
      <x:c r="B59" s="8"/>
      <x:c r="C59" s="8"/>
      <x:c r="D59" s="8"/>
    </x:row>
    <x:row r="60">
      <x:c r="A60" s="8"/>
      <x:c r="B60" s="8"/>
      <x:c r="C60" s="8"/>
      <x:c r="D60" s="8"/>
    </x:row>
  </x:sheetData>
  <x:pageMargins left="0.7" right="0.7" top="0.75" bottom="0.75" header="0.3" footer="0.3"/>
  <x:tableParts count="1">
    <x:tablePart xmlns:r="http://schemas.openxmlformats.org/officeDocument/2006/relationships" r:id="Rc6d20e53eb554cb9"/>
  </x:tableParts>
</x:worksheet>
</file>